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XECUTION_PIPELINE" sheetId="2" r:id="rId6"/>
    <sheet state="visible" name="CURSOR_PROMPTS" sheetId="3" r:id="rId7"/>
    <sheet state="visible" name="PHONE_LIVE_UPDATES" sheetId="4" r:id="rId8"/>
    <sheet state="visible" name="DECISIONS" sheetId="5" r:id="rId9"/>
    <sheet state="visible" name="PLAYSTORE_CHECKLIST" sheetId="6" r:id="rId10"/>
    <sheet state="visible" name="SECURITY_GATES" sheetId="7" r:id="rId11"/>
    <sheet state="visible" name="OFFICIAL_REFERENCES" sheetId="8" r:id="rId12"/>
    <sheet state="visible" name="HOW_TO_USE" sheetId="9" r:id="rId13"/>
  </sheets>
  <definedNames>
    <definedName hidden="1" localSheetId="8" name="Z_646A2017_A525_4212_81F4_65D5ACE96421_.wvu.FilterData">HOW_TO_USE!$A$4:$C$12</definedName>
    <definedName hidden="1" localSheetId="4" name="Z_DAC696DF_8988_4CBC_A37B_53B4E961D092_.wvu.FilterData">DECISIONS!$A$4:$F$14</definedName>
    <definedName hidden="1" localSheetId="2" name="Z_A763D46A_CBAD_4814_A45F_3CC312FB5B6C_.wvu.FilterData">CURSOR_PROMPTS!$A$4:$D$12</definedName>
    <definedName hidden="1" localSheetId="6" name="Z_2F9F7DC3_57D8_4B77_9A6B_75B73012A585_.wvu.FilterData">SECURITY_GATES!$A$4:$E$15</definedName>
    <definedName hidden="1" localSheetId="5" name="Z_D6858EF6_BA7F_4292_ABBD_127C732261A7_.wvu.FilterData">PLAYSTORE_CHECKLIST!$A$4:$F$15</definedName>
    <definedName hidden="1" localSheetId="1" name="Z_83AA34DC_0D91_414C_A432_87B6BF9D47B7_.wvu.FilterData">EXECUTION_PIPELINE!$A$4:$J$42</definedName>
    <definedName hidden="1" localSheetId="7" name="Z_4BED560E_1588_4F94_9B68_3B25E25B2C8F_.wvu.FilterData">OFFICIAL_REFERENCES!$A$4:$C$15</definedName>
    <definedName hidden="1" localSheetId="3" name="Z_54FBC04B_4820_443D_B04A_1995B10D1FAD_.wvu.FilterData">PHONE_LIVE_UPDATES!$A$4:$E$13</definedName>
    <definedName hidden="1" localSheetId="0" name="Z_B875D02D_36D1_47C7_B36B_CA4A535EA54D_.wvu.FilterData">DASHBOARD!$A$4:$C$14</definedName>
  </definedNames>
  <calcPr/>
  <customWorkbookViews>
    <customWorkbookView activeSheetId="0" maximized="1" windowHeight="0" windowWidth="0" guid="{646A2017-A525-4212-81F4-65D5ACE96421}" name="HowToUseTable filter view"/>
    <customWorkbookView activeSheetId="0" maximized="1" windowHeight="0" windowWidth="0" guid="{DAC696DF-8988-4CBC-A37B-53B4E961D092}" name="DecisionLog filter view"/>
    <customWorkbookView activeSheetId="0" maximized="1" windowHeight="0" windowWidth="0" guid="{A763D46A-CBAD-4814-A45F-3CC312FB5B6C}" name="CursorPrompts filter view"/>
    <customWorkbookView activeSheetId="0" maximized="1" windowHeight="0" windowWidth="0" guid="{2F9F7DC3-57D8-4B77-9A6B-75B73012A585}" name="SecurityGates filter view"/>
    <customWorkbookView activeSheetId="0" maximized="1" windowHeight="0" windowWidth="0" guid="{D6858EF6-BA7F-4292-ABBD-127C732261A7}" name="PlayReleaseChecklist filter view"/>
    <customWorkbookView activeSheetId="0" maximized="1" windowHeight="0" windowWidth="0" guid="{83AA34DC-0D91-414C-A432-87B6BF9D47B7}" name="ExecutionPipeline filter view"/>
    <customWorkbookView activeSheetId="0" maximized="1" windowHeight="0" windowWidth="0" guid="{4BED560E-1588-4F94-9B68-3B25E25B2C8F}" name="OfficialReferences filter view"/>
    <customWorkbookView activeSheetId="0" maximized="1" windowHeight="0" windowWidth="0" guid="{54FBC04B-4820-443D-B04A-1995B10D1FAD}" name="LiveUpdatePlan filter view"/>
    <customWorkbookView activeSheetId="0" maximized="1" windowHeight="0" windowWidth="0" guid="{B875D02D-36D1-47C7-B36B-CA4A535EA54D}" name="DashboardGuide filter view"/>
  </customWorkbookViews>
</workbook>
</file>

<file path=xl/sharedStrings.xml><?xml version="1.0" encoding="utf-8"?>
<sst xmlns="http://schemas.openxmlformats.org/spreadsheetml/2006/main" count="804" uniqueCount="615">
  <si>
    <t>Cursor Prompts</t>
  </si>
  <si>
    <t>Phone Live Updates</t>
  </si>
  <si>
    <t>Dashboard</t>
  </si>
  <si>
    <t>Execution Pipeline</t>
  </si>
  <si>
    <t>Copy one task prompt at a time into Cursor Agent. Never ask the agent to build everything in one shot.</t>
  </si>
  <si>
    <t>Three different update types: local development, app binary updates, and backend/content updates. Configure each deliberately.</t>
  </si>
  <si>
    <t>HOMIZI: start from an empty project, install an early Android build, iterate with tester distribution, then release on Google Play. Keep iOS-compatible Flutter architecture.</t>
  </si>
  <si>
    <t>Sequential execution checklist. Dependencies use step IDs. Cursor writes code; you approve provider, privacy, financial, destructive and production decisions.</t>
  </si>
  <si>
    <t>Prompt ID</t>
  </si>
  <si>
    <t>Topic</t>
  </si>
  <si>
    <t>ID</t>
  </si>
  <si>
    <t>Step ID</t>
  </si>
  <si>
    <t>Recommendation</t>
  </si>
  <si>
    <t>Goal</t>
  </si>
  <si>
    <t>Purpose</t>
  </si>
  <si>
    <t>Phase</t>
  </si>
  <si>
    <t>Details</t>
  </si>
  <si>
    <t>Steps</t>
  </si>
  <si>
    <t>Prompt to paste into Cursor</t>
  </si>
  <si>
    <t>Work package</t>
  </si>
  <si>
    <t>Success condition</t>
  </si>
  <si>
    <t>Use when</t>
  </si>
  <si>
    <t>Detailed actions</t>
  </si>
  <si>
    <t>Recommended path</t>
  </si>
  <si>
    <t>Channel</t>
  </si>
  <si>
    <t>Definition of done / evidence</t>
  </si>
  <si>
    <t>CP-001</t>
  </si>
  <si>
    <t>Android first</t>
  </si>
  <si>
    <t>L-01</t>
  </si>
  <si>
    <t>Owner</t>
  </si>
  <si>
    <t>Create specs</t>
  </si>
  <si>
    <t>Get a real app onto your phone early; continue towards Play Store while preserving iOS support.</t>
  </si>
  <si>
    <t>Immediate local install</t>
  </si>
  <si>
    <t>This is a brand-new HOMIZI project with no code. Read this workbook's dashboard, execution pipeline, decisions, modules, screens, data model, security, tests and store release sheets. Create docs/PRODUCT_SPEC.md, TECH_STACK.md, DATA_MODEL.md, SECURITY_AND_PRIVACY.md, RELEASE_PLAN.md and DECISIONS.md. Preserve requirements; mark undecided choices as pending. Do not build app yet. Report open questions and wait for my approval.</t>
  </si>
  <si>
    <t>Dependencies</t>
  </si>
  <si>
    <t>Enable Developer options and USB debugging on Android. Connect USB; accept trust prompt. In Cursor terminal run flutter devices, then flutter run -d &lt;deviceId&gt;.</t>
  </si>
  <si>
    <t>Q-001 scope/specification</t>
  </si>
  <si>
    <t>Mobile framework</t>
  </si>
  <si>
    <t>Status</t>
  </si>
  <si>
    <t>HOMIZI starter app launches on the physical phone with logs available.</t>
  </si>
  <si>
    <t>CP-002</t>
  </si>
  <si>
    <t>Flutter + Dart</t>
  </si>
  <si>
    <t>Approval type</t>
  </si>
  <si>
    <t>Local debug</t>
  </si>
  <si>
    <t>Environment baseline</t>
  </si>
  <si>
    <t>One shared codebase; native iOS release still requires macOS/Xcode or macOS CI.</t>
  </si>
  <si>
    <t>Notes</t>
  </si>
  <si>
    <t>L-02</t>
  </si>
  <si>
    <t>Check flutter --version, flutter doctor, git --version and flutter devices. Report exact output and blockers. Do not claim iOS builds work on Windows. Do not install system tools or change global settings without explaining first.</t>
  </si>
  <si>
    <t>Backend default</t>
  </si>
  <si>
    <t>APK without USB</t>
  </si>
  <si>
    <t>Q-002 setup</t>
  </si>
  <si>
    <t>Supabase + PostgreSQL</t>
  </si>
  <si>
    <t>E-001</t>
  </si>
  <si>
    <t>Run flutter build apk --debug. Transfer build/app/outputs/flutter-apk/app-debug.apk to phone; open it and allow installation from that source if prompted.</t>
  </si>
  <si>
    <t>Proposed, not approved. Confirm provider, region, cost, privacy and access rules before production.</t>
  </si>
  <si>
    <t>CP-003</t>
  </si>
  <si>
    <t>APK installs. For subsequent upgrades, keep same application ID and signing key.</t>
  </si>
  <si>
    <t>P0 Scope</t>
  </si>
  <si>
    <t>First install</t>
  </si>
  <si>
    <t>Flutter baseline</t>
  </si>
  <si>
    <t>USB + flutter run</t>
  </si>
  <si>
    <t>Manual APK</t>
  </si>
  <si>
    <t>Approve MVP</t>
  </si>
  <si>
    <t>Fastest for a first device smoke test; no store account required.</t>
  </si>
  <si>
    <t>Create a Flutter app targeting Android and iOS with the approved package ID, a simple HOMIZI home screen, feature-first structure, linting and one widget test. Run dart format, flutter analyze, flutter test and Android debug build. Fix failures; report exact commands and results.</t>
  </si>
  <si>
    <t>L-03</t>
  </si>
  <si>
    <t>Review features and select minimum releasable slice: profiles, listing creation, discovery, safety/reporting. Defer payments and real ID verification unless essential.</t>
  </si>
  <si>
    <t>Repeatable installs</t>
  </si>
  <si>
    <t>E-004/E-005</t>
  </si>
  <si>
    <t>Repeatable tester install</t>
  </si>
  <si>
    <t>Approved product brief and deferred-scope list in docs/PRODUCT_SPEC.md.</t>
  </si>
  <si>
    <t>Firebase App Distribution</t>
  </si>
  <si>
    <t>Create Firebase project and register Android app using exact package name. Invite your tester email. Upload APK in Firebase App Distribution console or via CLI; share the release link/invitation.</t>
  </si>
  <si>
    <t>CP-004</t>
  </si>
  <si>
    <t>Invite yourself/testers and share each new test build. New Flutter code normally requires a new build/install.</t>
  </si>
  <si>
    <t>Phone can install releases and see notes/version; test releases are available for limited time per Firebase rules.</t>
  </si>
  <si>
    <t>Backend security</t>
  </si>
  <si>
    <t>Start</t>
  </si>
  <si>
    <t>Live backend changes</t>
  </si>
  <si>
    <t>Implement only approved development schema/policies. Add negative tests for cross-user access and private contact fields. Keep migrations versioned. Never place privileged keys in the app. Stop if backend provider or region is unapproved.</t>
  </si>
  <si>
    <t>Deploy backend separately</t>
  </si>
  <si>
    <t>L-04</t>
  </si>
  <si>
    <t>E-009/E-010</t>
  </si>
  <si>
    <t>Content/data and compatible server logic can update without reinstalling the app.</t>
  </si>
  <si>
    <t>Not started</t>
  </si>
  <si>
    <t>Automatic build distribution</t>
  </si>
  <si>
    <t>CP-005</t>
  </si>
  <si>
    <t>Owner approval</t>
  </si>
  <si>
    <t>Play Store release</t>
  </si>
  <si>
    <t>Configure GitHub Actions: run tests → build APK → upload to Firebase only on approved branch/tag → publish release notes/link. Store tokens in repository secrets.</t>
  </si>
  <si>
    <t>One task template</t>
  </si>
  <si>
    <t>No existing project assumed.</t>
  </si>
  <si>
    <t>Signed AAB + Play Console</t>
  </si>
  <si>
    <t>Each approved commit/tag yields a traceable test build; failures notify rather than silently publish.</t>
  </si>
  <si>
    <t>Implement only [STEP ID + WORK PACKAGE] from EXECUTION_PIPELINE. Before coding, summarize dependencies and acceptance criteria. Make real repository changes, run formatting/analyzer/tests/build as relevant, fix failures, update docs and report changed files, actual commands/results, blockers and next task. Mark Done only if criteria pass.</t>
  </si>
  <si>
    <t>Store review and account-specific testing requirements still apply.</t>
  </si>
  <si>
    <t>E-002</t>
  </si>
  <si>
    <t>Use for each approved step</t>
  </si>
  <si>
    <t>Important current policy</t>
  </si>
  <si>
    <t>P1 Setup</t>
  </si>
  <si>
    <t>CP-006</t>
  </si>
  <si>
    <t>Target API 36+</t>
  </si>
  <si>
    <t>Install tools</t>
  </si>
  <si>
    <t>Phone APK</t>
  </si>
  <si>
    <t>GitHub Actions + Firebase</t>
  </si>
  <si>
    <t>Google's official policy page states new apps/updates must target Android 16/API 36+ from Aug 31, 2026; recheck at release.</t>
  </si>
  <si>
    <t>Install Flutter/Dart, Android Studio+SDK, Git, Cursor. Run flutter doctor and git --version.</t>
  </si>
  <si>
    <t>Verify package ID and current build. Run tests, then build debug APK using flutter build apk --debug. Give exact artifact path and steps to install on my Android phone. If Firebase App Distribution is configured, upload only if authorized and provide actual release link; otherwise give manual setup steps. Do not claim distribution succeeded without proof.</t>
  </si>
  <si>
    <t>L-05</t>
  </si>
  <si>
    <t>Applicable new personal accounts</t>
  </si>
  <si>
    <t>Toolchain report saved; fix blocking Android toolchain issues.</t>
  </si>
  <si>
    <t>E-006/E-028</t>
  </si>
  <si>
    <t>CP-007</t>
  </si>
  <si>
    <t>Live data/backend</t>
  </si>
  <si>
    <t>CI distribution</t>
  </si>
  <si>
    <t>Deploy approved backend migrations/functions and have the app fetch data from the backend. Use compatible API/schema changes and a rollback plan.</t>
  </si>
  <si>
    <t>Set up GitHub Actions to run format/analyze/tests on pull requests and build/distribute a test APK only from an approved branch/tag. Use repository secrets; fail safely if missing; never print secrets. Do not deploy production from arbitrary commits.</t>
  </si>
  <si>
    <t>Content/server-side updates appear without reinstall when installed client supports them.</t>
  </si>
  <si>
    <t>Owner action</t>
  </si>
  <si>
    <t>E-029</t>
  </si>
  <si>
    <t>Backend deployment</t>
  </si>
  <si>
    <t>12 testers / 14 days</t>
  </si>
  <si>
    <t>Windows can build Android; iOS needs macOS/Xcode.</t>
  </si>
  <si>
    <t>CP-008</t>
  </si>
  <si>
    <t>L-06</t>
  </si>
  <si>
    <t>Google says personal developer accounts created after Nov 13, 2023 need a closed test with at least 12 opted-in testers continuously for 14 days before applying for production access.</t>
  </si>
  <si>
    <t>Release audit</t>
  </si>
  <si>
    <t>E-003</t>
  </si>
  <si>
    <t>UI/code changes</t>
  </si>
  <si>
    <t>How to use this workbook</t>
  </si>
  <si>
    <t>Audit every TEST_PLAN, SECURITY_PRIVACY and STORE_RELEASE item as Pass/Fail/Not tested with evidence. Run available checks. Do not infer pass from missing evidence. List blockers and fixes. Do not submit/publish without explicit owner approval.</t>
  </si>
  <si>
    <t>For Flutter UI/native code changes, create a new build and install via Firebase or Play testing. Do not assume silent hot updates. Evaluate any OTA product only after policy/security review.</t>
  </si>
  <si>
    <t>One task at a time</t>
  </si>
  <si>
    <t>New app code is installed as a new build.</t>
  </si>
  <si>
    <t>Create repo</t>
  </si>
  <si>
    <t>Update status only after evidence. Stop at gates requiring owner, security, finance or legal approval.</t>
  </si>
  <si>
    <t>New binary</t>
  </si>
  <si>
    <t>Create GitHub repo and local homizi folder; initialize README and .gitignore.</t>
  </si>
  <si>
    <t>E-035</t>
  </si>
  <si>
    <t>Pipeline completion</t>
  </si>
  <si>
    <t>Initial commit; no credentials committed.</t>
  </si>
  <si>
    <t>L-07</t>
  </si>
  <si>
    <t>Play internal testing</t>
  </si>
  <si>
    <t>Total steps</t>
  </si>
  <si>
    <t>Upload signed AAB in Play Console internal testing, add testers and share opt-in link. Test install/update through Google Play.</t>
  </si>
  <si>
    <t>Owner + Cursor</t>
  </si>
  <si>
    <t>Validates Play signing and Play update flow.</t>
  </si>
  <si>
    <t>Play Console</t>
  </si>
  <si>
    <t>L-08</t>
  </si>
  <si>
    <t>Routine</t>
  </si>
  <si>
    <t>Production</t>
  </si>
  <si>
    <t>Choose stable package/bundle ID early.</t>
  </si>
  <si>
    <t>After all gates, submit signed AAB, complete declarations, answer review questions and release with staged rollout if available.</t>
  </si>
  <si>
    <t>Public Play listing is approved and live.</t>
  </si>
  <si>
    <t>E-004</t>
  </si>
  <si>
    <t>Google Play</t>
  </si>
  <si>
    <t>Done</t>
  </si>
  <si>
    <t>L-09</t>
  </si>
  <si>
    <t>Create Flutter app</t>
  </si>
  <si>
    <t>iOS testing</t>
  </si>
  <si>
    <t>Create Flutter project targeting Android+iOS and run on emulator.</t>
  </si>
  <si>
    <t>Build on macOS/Xcode or macOS CI, configure signing and distribute through TestFlight. Each build is uploaded and tested under Apple's process.</t>
  </si>
  <si>
    <t>Starter app launches; iOS project files exist.</t>
  </si>
  <si>
    <t>Blocked</t>
  </si>
  <si>
    <t>iPhone tester installs via TestFlight.</t>
  </si>
  <si>
    <t>Cursor</t>
  </si>
  <si>
    <t>TestFlight</t>
  </si>
  <si>
    <t>Review required</t>
  </si>
  <si>
    <t>Do not implement all features at once.</t>
  </si>
  <si>
    <t>Official references</t>
  </si>
  <si>
    <t>Flutter Android deployment</t>
  </si>
  <si>
    <t>E-005</t>
  </si>
  <si>
    <t>https://docs.flutter.dev/deployment/android</t>
  </si>
  <si>
    <t>Architecture &amp; quality</t>
  </si>
  <si>
    <t>Add feature-first folders, navigation, one state-management approach, linting and first widget test.</t>
  </si>
  <si>
    <t>dart format, flutter analyze and flutter test pass.</t>
  </si>
  <si>
    <t>Avoid unnecessary dependencies.</t>
  </si>
  <si>
    <t>https://firebase.google.com/docs/app-distribution/android/distribute-console</t>
  </si>
  <si>
    <t>E-006</t>
  </si>
  <si>
    <t>P1 Device</t>
  </si>
  <si>
    <t>First phone install</t>
  </si>
  <si>
    <t>Enable Android Developer options + USB debugging; run flutter devices and flutter run -d DEVICE_ID.</t>
  </si>
  <si>
    <t>Starter app runs on physical phone; record OS and screenshot.</t>
  </si>
  <si>
    <t>Play testing requirements</t>
  </si>
  <si>
    <t>https://support.google.com/googleplay/android-developer/answer/14151465?hl=en</t>
  </si>
  <si>
    <t>First install happens before backend/store.</t>
  </si>
  <si>
    <t>E-007</t>
  </si>
  <si>
    <t>P2 Decision</t>
  </si>
  <si>
    <t>Approve backend</t>
  </si>
  <si>
    <t>Evaluate Supabase/Firebase/custom backend, region, cost, terms and features.</t>
  </si>
  <si>
    <t>Play target API level</t>
  </si>
  <si>
    <t>https://support.google.com/googleplay/android-developer/answer/11926878?hl=en-EN</t>
  </si>
  <si>
    <t>Decision recorded in DECISIONS.md with owner/date.</t>
  </si>
  <si>
    <t>Security review</t>
  </si>
  <si>
    <t>Supabase is a proposal only.</t>
  </si>
  <si>
    <t>Flutter install</t>
  </si>
  <si>
    <t>https://docs.flutter.dev/get-started/install</t>
  </si>
  <si>
    <t>E-008</t>
  </si>
  <si>
    <t>P2 Backend</t>
  </si>
  <si>
    <t>Create dev environment</t>
  </si>
  <si>
    <t>Create development backend; configure auth/storage/database and environment variables; document .env.example.</t>
  </si>
  <si>
    <t>Dev project reachable; secrets excluded from Git.</t>
  </si>
  <si>
    <t>Owner + review</t>
  </si>
  <si>
    <t>No production data yet.</t>
  </si>
  <si>
    <t>E-009</t>
  </si>
  <si>
    <t>Schema migrations</t>
  </si>
  <si>
    <t>Create minimal tables for users/profiles, preferences, listings/photos, interests/matches, reports/blocks and consent.</t>
  </si>
  <si>
    <t>Migrations run from clean state; schema and seed data documented.</t>
  </si>
  <si>
    <t>Review</t>
  </si>
  <si>
    <t>Build only what MVP needs.</t>
  </si>
  <si>
    <t>E-010</t>
  </si>
  <si>
    <t>P2 Security</t>
  </si>
  <si>
    <t>Authorization policies</t>
  </si>
  <si>
    <t>Add server-side/RLS rules and negative tests for cross-user access, ownership, contact privacy and admin access.</t>
  </si>
  <si>
    <t>Allowed and denied cases tested; no client-only security gates.</t>
  </si>
  <si>
    <t>Cursor + reviewer</t>
  </si>
  <si>
    <t>Security gate</t>
  </si>
  <si>
    <t>Required before real users.</t>
  </si>
  <si>
    <t>E-011</t>
  </si>
  <si>
    <t>P3 Design</t>
  </si>
  <si>
    <t>Design system</t>
  </si>
  <si>
    <t>Build HOMIZI tokens, buttons, form fields, listing cards, photo grid and loading/error/empty states.</t>
  </si>
  <si>
    <t>Reusable accessible components used across screens.</t>
  </si>
  <si>
    <t>Cursor + owner</t>
  </si>
  <si>
    <t>Owner review</t>
  </si>
  <si>
    <t>Use approved logo/colors.</t>
  </si>
  <si>
    <t>E-012</t>
  </si>
  <si>
    <t>P4 Auth</t>
  </si>
  <si>
    <t>Authentication</t>
  </si>
  <si>
    <t>Implement selected provider's login/OTP, sessions, logout, expiry and error states.</t>
  </si>
  <si>
    <t>Auth works in development; invalid/expired attempts tested.</t>
  </si>
  <si>
    <t>E-008,E-011</t>
  </si>
  <si>
    <t>Decisions</t>
  </si>
  <si>
    <t>Never log OTP/tokens.</t>
  </si>
  <si>
    <t>E-013</t>
  </si>
  <si>
    <t>Fill and approve these before the related implementation. Proposed values are not final approval.</t>
  </si>
  <si>
    <t>P4 Profiles</t>
  </si>
  <si>
    <t>Tenant and host profiles</t>
  </si>
  <si>
    <t>Implement role selection, profile fields and consent capture; use test verification status only.</t>
  </si>
  <si>
    <t>Decision</t>
  </si>
  <si>
    <t>Validated role flows and access rules pass.</t>
  </si>
  <si>
    <t>Playstore Checklist</t>
  </si>
  <si>
    <t>Recommended default</t>
  </si>
  <si>
    <t>Alternative / note</t>
  </si>
  <si>
    <t>E-010,E-012</t>
  </si>
  <si>
    <t>Store release checklist; verify current official rules when preparing submission.</t>
  </si>
  <si>
    <t>Approver</t>
  </si>
  <si>
    <t>No real Aadhaar/face data without approval.</t>
  </si>
  <si>
    <t>D-01</t>
  </si>
  <si>
    <t>Checklist</t>
  </si>
  <si>
    <t>E-014</t>
  </si>
  <si>
    <t>Framework</t>
  </si>
  <si>
    <t>Acceptance criteria</t>
  </si>
  <si>
    <t>P5 Requirements</t>
  </si>
  <si>
    <t>Flutter + Dart for one shared iOS/Android codebase.</t>
  </si>
  <si>
    <t>Tenant requirement flow</t>
  </si>
  <si>
    <t>React Native if team chooses TypeScript stack.</t>
  </si>
  <si>
    <t>Budget, locality, move-in date, occupancy, property type, furnishing and preferences.</t>
  </si>
  <si>
    <t>Create/edit/draft validation works with tests.</t>
  </si>
  <si>
    <t>Proposed</t>
  </si>
  <si>
    <t>R-01</t>
  </si>
  <si>
    <t>Account setup</t>
  </si>
  <si>
    <t>D-02</t>
  </si>
  <si>
    <t>Backend</t>
  </si>
  <si>
    <t>Supabase/PostgreSQL proposed for relational listings, auth, storage and row-level security.</t>
  </si>
  <si>
    <t>Collect minimum necessary data.</t>
  </si>
  <si>
    <t>Firebase/custom backend after review.</t>
  </si>
  <si>
    <t>Create/verify Google Play Console account and app record.</t>
  </si>
  <si>
    <t>E-015</t>
  </si>
  <si>
    <t>Owner + security</t>
  </si>
  <si>
    <t>P5 Listings</t>
  </si>
  <si>
    <t>D-03</t>
  </si>
  <si>
    <t>Launch scope</t>
  </si>
  <si>
    <t>Host listing form</t>
  </si>
  <si>
    <t>Account type may trigger closed testing requirement.</t>
  </si>
  <si>
    <t>Android-first installable MVP; maintain iOS compatibility; defer optional features.</t>
  </si>
  <si>
    <t>Property details, rent/deposit/charges, amenities, restrictions, draft and preview.</t>
  </si>
  <si>
    <t>Ship broader scope only if owner approves timeline.</t>
  </si>
  <si>
    <t>R-02</t>
  </si>
  <si>
    <t>Host can create/edit/preview valid draft.</t>
  </si>
  <si>
    <t>Package and signing</t>
  </si>
  <si>
    <t>Choose stable package name; configure upload key/app signing securely; do not commit keys.</t>
  </si>
  <si>
    <t>D-04</t>
  </si>
  <si>
    <t>Verification</t>
  </si>
  <si>
    <t>Mock verification status in dev; select compliant provider only after privacy/legal review.</t>
  </si>
  <si>
    <t>Provider decision must include retention and data-flow.</t>
  </si>
  <si>
    <t>Precise address visibility needs decision.</t>
  </si>
  <si>
    <t>Not selected</t>
  </si>
  <si>
    <t>E-016</t>
  </si>
  <si>
    <t>Legal/security</t>
  </si>
  <si>
    <t>P5 Photos</t>
  </si>
  <si>
    <t>Upload and order photos</t>
  </si>
  <si>
    <t>Minimum count, order rules, primary image, retry/progress, remove/reorder and server validation.</t>
  </si>
  <si>
    <t>D-05</t>
  </si>
  <si>
    <t>Invalid file, ownership, ordering and retry tests pass.</t>
  </si>
  <si>
    <t>Contact privacy</t>
  </si>
  <si>
    <t>Backup signing material securely.</t>
  </si>
  <si>
    <t>Contact returned only through server authorization after explicit approved conditions.</t>
  </si>
  <si>
    <t>Owner must define exact mutual-match/consent rules.</t>
  </si>
  <si>
    <t>R-03</t>
  </si>
  <si>
    <t>Target SDK</t>
  </si>
  <si>
    <t>Check current Play target API policy; as of official policy page checked Oct 2026, new apps/updates target API 36+ from Aug 31 2026, subject to exceptions/extensions.</t>
  </si>
  <si>
    <t>E-008,E-015</t>
  </si>
  <si>
    <t>D-06</t>
  </si>
  <si>
    <t>Payments</t>
  </si>
  <si>
    <t>Defer real payments until policy, finance and gateway review.</t>
  </si>
  <si>
    <t>Recheck official page at release.</t>
  </si>
  <si>
    <t>Include only if essential to MVP.</t>
  </si>
  <si>
    <t>Storage access must be restricted.</t>
  </si>
  <si>
    <t>Security Gates</t>
  </si>
  <si>
    <t>Owner + finance</t>
  </si>
  <si>
    <t>E-017</t>
  </si>
  <si>
    <t>R-04</t>
  </si>
  <si>
    <t>P5 Publish</t>
  </si>
  <si>
    <t>D-07</t>
  </si>
  <si>
    <t>Release artifact</t>
  </si>
  <si>
    <t>Package ID</t>
  </si>
  <si>
    <t>Publish validation</t>
  </si>
  <si>
    <t>Do not release until critical security/privacy checks have evidence.</t>
  </si>
  <si>
    <t>Run tests and build signed release AAB using flutter build appbundle.</t>
  </si>
  <si>
    <t>Choose permanent reverse-domain Android applicationId and iOS bundle identifier.</t>
  </si>
  <si>
    <t>Validate required fields/photos and moderation state on server before publish.</t>
  </si>
  <si>
    <t>Do not casually change after release.</t>
  </si>
  <si>
    <t>Invalid listing cannot publish through UI or API.</t>
  </si>
  <si>
    <t>Pending</t>
  </si>
  <si>
    <t>Gate</t>
  </si>
  <si>
    <t>Flutter docs say Play prefers app bundle.</t>
  </si>
  <si>
    <t>E-010,E-016</t>
  </si>
  <si>
    <t>D-08</t>
  </si>
  <si>
    <t>R-05</t>
  </si>
  <si>
    <t>Production region</t>
  </si>
  <si>
    <t>Store listing</t>
  </si>
  <si>
    <t>Choose backend region after latency, privacy and contractual review.</t>
  </si>
  <si>
    <t>Icon, screenshots, description, category, contact/support details.</t>
  </si>
  <si>
    <t>Evidence</t>
  </si>
  <si>
    <t>Server is authoritative.</t>
  </si>
  <si>
    <t>Do not assume provider default is suitable.</t>
  </si>
  <si>
    <t>E-018</t>
  </si>
  <si>
    <t>S-01</t>
  </si>
  <si>
    <t>Owner + privacy</t>
  </si>
  <si>
    <t>P6 Discovery</t>
  </si>
  <si>
    <t>Must reflect actual app.</t>
  </si>
  <si>
    <t>Secrets</t>
  </si>
  <si>
    <t>D-09</t>
  </si>
  <si>
    <t>Feed and filters</t>
  </si>
  <si>
    <t>R-06</t>
  </si>
  <si>
    <t>No API secrets, service-role keys, tokens or signing keys committed or embedded in mobile app.</t>
  </si>
  <si>
    <t>Store account type</t>
  </si>
  <si>
    <t>Build feed, detail, filters, sorting, pagination and empty/loading/error states.</t>
  </si>
  <si>
    <t>Confirm Apple/Google account owner and whether Play account is personal or organization.</t>
  </si>
  <si>
    <t>Works on phone; private fields excluded from results.</t>
  </si>
  <si>
    <t>Account type affects verification/testing steps.</t>
  </si>
  <si>
    <t>Secret scan + repo review</t>
  </si>
  <si>
    <t>S-02</t>
  </si>
  <si>
    <t>D-10</t>
  </si>
  <si>
    <t>Authorization</t>
  </si>
  <si>
    <t>Moderation</t>
  </si>
  <si>
    <t>Test cross-user read/write denial for profiles, listings, matches, chats and admin operations.</t>
  </si>
  <si>
    <t>Assign who reviews reports and expected response process before public launch.</t>
  </si>
  <si>
    <t>Start with seed data.</t>
  </si>
  <si>
    <t>Do not launch open marketplace without operations plan.</t>
  </si>
  <si>
    <t>E-019</t>
  </si>
  <si>
    <t>Negative access test report</t>
  </si>
  <si>
    <t>P6 Matching</t>
  </si>
  <si>
    <t>S-03</t>
  </si>
  <si>
    <t>Compatibility score</t>
  </si>
  <si>
    <t>Approve factors/weights and implement server-side explainable scoring.</t>
  </si>
  <si>
    <t>Hidden contact fields never returned from unauthorized APIs; UI hiding alone is insufficient.</t>
  </si>
  <si>
    <t>Documented formula and deterministic tests.</t>
  </si>
  <si>
    <t>API response tests</t>
  </si>
  <si>
    <t>S-04</t>
  </si>
  <si>
    <t>Identity data</t>
  </si>
  <si>
    <t>No real Aadhaar/face data until provider, lawful basis, consent and retention are approved.</t>
  </si>
  <si>
    <t>Avoid discriminatory criteria.</t>
  </si>
  <si>
    <t>E-020</t>
  </si>
  <si>
    <t>Approved provider/data-flow review</t>
  </si>
  <si>
    <t>S-05</t>
  </si>
  <si>
    <t>Interest and mutual match</t>
  </si>
  <si>
    <t>Uploads</t>
  </si>
  <si>
    <t>Like/pass/save and reciprocal matching with idempotency, block checks and rate limits.</t>
  </si>
  <si>
    <t>File size/type/ownership/access validation and listing photo moderation.</t>
  </si>
  <si>
    <t>Duplicate requests do not create duplicate matches.</t>
  </si>
  <si>
    <t>E-010,E-019</t>
  </si>
  <si>
    <t>Upload tests</t>
  </si>
  <si>
    <t>S-06</t>
  </si>
  <si>
    <t>Server authoritative.</t>
  </si>
  <si>
    <t>Account deletion</t>
  </si>
  <si>
    <t>Real deletion workflow across auth, database, storage and connected services according to approved policy.</t>
  </si>
  <si>
    <t>E-021</t>
  </si>
  <si>
    <t>P6 Privacy</t>
  </si>
  <si>
    <t>Contact gate</t>
  </si>
  <si>
    <t>End-to-end deletion evidence</t>
  </si>
  <si>
    <t>Approve disclosure rules; return contact only via authorized server operation after required match/consent.</t>
  </si>
  <si>
    <t>S-07</t>
  </si>
  <si>
    <t>Unauthorized tests prove contact fields absent from payloads.</t>
  </si>
  <si>
    <t>Reports/blocks function and a named person/process handles reports.</t>
  </si>
  <si>
    <t>Explicit approval</t>
  </si>
  <si>
    <t>Moderation SOP and integration test</t>
  </si>
  <si>
    <t>Stop until policy is approved.</t>
  </si>
  <si>
    <t>S-08</t>
  </si>
  <si>
    <t>E-022</t>
  </si>
  <si>
    <t>P7 Safety</t>
  </si>
  <si>
    <t>Server-verified webhooks and idempotency; no client-authoritative paid entitlements.</t>
  </si>
  <si>
    <t>Report and block</t>
  </si>
  <si>
    <t>Report users/listings, block actions, moderation state and audit trail.</t>
  </si>
  <si>
    <t>Blocked interactions fail; reports reach a defined moderation workflow.</t>
  </si>
  <si>
    <t>Webhook tests</t>
  </si>
  <si>
    <t>E-010,E-018</t>
  </si>
  <si>
    <t>S-09</t>
  </si>
  <si>
    <t>Human review</t>
  </si>
  <si>
    <t>Backups</t>
  </si>
  <si>
    <t>Assign moderation responsibility.</t>
  </si>
  <si>
    <t>Production backup and restore procedure tested before launch.</t>
  </si>
  <si>
    <t>E-023</t>
  </si>
  <si>
    <t>P7 Optional</t>
  </si>
  <si>
    <t>Restore evidence</t>
  </si>
  <si>
    <t>Chat, visits, notifications</t>
  </si>
  <si>
    <t>S-10</t>
  </si>
  <si>
    <t>Privacy and safety</t>
  </si>
  <si>
    <t>Decide MVP inclusion and providers; implement match-gated chat, visit state machine and push/in-app alerts if approved.</t>
  </si>
  <si>
    <t>Store declarations</t>
  </si>
  <si>
    <t>Each chosen flow has auth checks and failure-state tests.</t>
  </si>
  <si>
    <t>Privacy/data safety declarations match SDKs, actual collection, sharing and retention.</t>
  </si>
  <si>
    <t>Publish privacy policy, terms, support/safety page, account deletion flow and accurate data declarations.</t>
  </si>
  <si>
    <t>E-020,E-021</t>
  </si>
  <si>
    <t>Owner + reviewer</t>
  </si>
  <si>
    <t>Reviewed store forms</t>
  </si>
  <si>
    <t>Approval</t>
  </si>
  <si>
    <t>S-11</t>
  </si>
  <si>
    <t>Declarations match actual SDK/data behavior.</t>
  </si>
  <si>
    <t>Defer to ship sooner if acceptable.</t>
  </si>
  <si>
    <t>Release rollback</t>
  </si>
  <si>
    <t>E-024</t>
  </si>
  <si>
    <t>R-07</t>
  </si>
  <si>
    <t>Document how to halt rollout, disable feature and issue hotfix.</t>
  </si>
  <si>
    <t>P8 Optional</t>
  </si>
  <si>
    <t>Testing track</t>
  </si>
  <si>
    <t>Payment go/no-go</t>
  </si>
  <si>
    <t>Review plans, gateway, store policy, refunds/tax/accounting and webhooks.</t>
  </si>
  <si>
    <t>Runbook</t>
  </si>
  <si>
    <t>Internal testing, then closed testing if applicable; capture tester feedback and fix issues.</t>
  </si>
  <si>
    <t>Written decision; no fake checkout if deferred.</t>
  </si>
  <si>
    <t>Owner + testers</t>
  </si>
  <si>
    <t>New personal accounts after 13 Nov 2023: at least 12 opted-in testers continuously for 14 days before production access application.</t>
  </si>
  <si>
    <t>Approval gate</t>
  </si>
  <si>
    <t>R-08</t>
  </si>
  <si>
    <t>Recommended to defer if not essential.</t>
  </si>
  <si>
    <t>Final QA</t>
  </si>
  <si>
    <t>E-025</t>
  </si>
  <si>
    <t>Physical-device tests, crash/permission checks, backend authorization and no critical/high defects.</t>
  </si>
  <si>
    <t>P9 QA</t>
  </si>
  <si>
    <t>Automated test suite</t>
  </si>
  <si>
    <t>Unit/widget/integration, backend policy, upload and main journey tests; run formatter/analyzer/tests.</t>
  </si>
  <si>
    <t>Keep evidence.</t>
  </si>
  <si>
    <t>CI green with evidence and no unreported failures.</t>
  </si>
  <si>
    <t>R-09</t>
  </si>
  <si>
    <t>E-012:E-023</t>
  </si>
  <si>
    <t>Go/no-go</t>
  </si>
  <si>
    <t>Owner explicitly approves exact artifact, version, declarations and rollout.</t>
  </si>
  <si>
    <t>Actual tests must run.</t>
  </si>
  <si>
    <t>E-026</t>
  </si>
  <si>
    <t>Never auto-publish.</t>
  </si>
  <si>
    <t>R-10</t>
  </si>
  <si>
    <t>Physical device regression</t>
  </si>
  <si>
    <t>Submit/release</t>
  </si>
  <si>
    <t>Test network changes, offline/slow mode, resume, app update and core journeys on Android phone.</t>
  </si>
  <si>
    <t>Submit in Play Console; answer review questions; monitor review and staged rollout.</t>
  </si>
  <si>
    <t>No release-blocking defects; repro steps logged.</t>
  </si>
  <si>
    <t>Approval is controlled by Google.</t>
  </si>
  <si>
    <t>Human testing</t>
  </si>
  <si>
    <t>R-11</t>
  </si>
  <si>
    <t>Real device needed.</t>
  </si>
  <si>
    <t>Operations</t>
  </si>
  <si>
    <t>Monitor crashes, reports, support, costs, auth and backend health; define rollback/hotfix process.</t>
  </si>
  <si>
    <t>E-027</t>
  </si>
  <si>
    <t>P9 Security</t>
  </si>
  <si>
    <t>Security/privacy audit</t>
  </si>
  <si>
    <t>App launch requires ongoing support.</t>
  </si>
  <si>
    <t>Review data inventory, policies, secrets, upload validation, deletion, logging, dependency checks and threat model.</t>
  </si>
  <si>
    <t>No unresolved critical/high issues; evidence recorded.</t>
  </si>
  <si>
    <t>Reviewer</t>
  </si>
  <si>
    <t>E-010,E-021,E-022,E-025</t>
  </si>
  <si>
    <t>Required gate</t>
  </si>
  <si>
    <t>Mocks until provider approved.</t>
  </si>
  <si>
    <t>E-028</t>
  </si>
  <si>
    <t>P10 Test delivery</t>
  </si>
  <si>
    <t>Create Firebase project/app with exact package name; invite testers; upload APK and share release link.</t>
  </si>
  <si>
    <t>Tester can install a release and see version/release notes.</t>
  </si>
  <si>
    <t>E-004,E-026</t>
  </si>
  <si>
    <t>Good repeatable pre-store testing route.</t>
  </si>
  <si>
    <t>P10 Automation</t>
  </si>
  <si>
    <t>Automate test builds</t>
  </si>
  <si>
    <t>CI runs checks, builds APK on approved branch/tag and uploads to Firebase only when secrets/config are present.</t>
  </si>
  <si>
    <t>Traceable build releases; failed jobs report errors safely.</t>
  </si>
  <si>
    <t>E-025,E-028</t>
  </si>
  <si>
    <t>Official References</t>
  </si>
  <si>
    <t>Protect secrets/branches.</t>
  </si>
  <si>
    <t>Official documentation used for the pipeline. Re-check before launch because policy and pricing can change.</t>
  </si>
  <si>
    <t>E-030</t>
  </si>
  <si>
    <t>Reference</t>
  </si>
  <si>
    <t>P10 Play Store</t>
  </si>
  <si>
    <t>Create Play Console app</t>
  </si>
  <si>
    <t>Official URL</t>
  </si>
  <si>
    <t>Create developer account/app record; set package name, listing draft, access and policy forms.</t>
  </si>
  <si>
    <t>Why it matters</t>
  </si>
  <si>
    <t>Console setup checklist complete.</t>
  </si>
  <si>
    <t>Account verification/fees may apply.</t>
  </si>
  <si>
    <t>E-031</t>
  </si>
  <si>
    <t>Signed AAB</t>
  </si>
  <si>
    <t>Configure upload signing securely, version/build number and target API; build release AAB and verify artifact.</t>
  </si>
  <si>
    <t>Signed AAB exists; signing secrets not committed.</t>
  </si>
  <si>
    <t>E-027,E-030</t>
  </si>
  <si>
    <t>Install SDK/toolchains.</t>
  </si>
  <si>
    <t>Flutter recommends AAB for Play.</t>
  </si>
  <si>
    <t>Flutter Android release</t>
  </si>
  <si>
    <t>E-032</t>
  </si>
  <si>
    <t>P10 Compliance</t>
  </si>
  <si>
    <t>Store listing and declarations</t>
  </si>
  <si>
    <t>Icon, screenshots, description, content rating, privacy policy, data safety, permissions, account deletion and support URLs.</t>
  </si>
  <si>
    <t>Flutter APK/AAB build instructions; Google Play prefers AAB.</t>
  </si>
  <si>
    <t>Legal/owner review</t>
  </si>
  <si>
    <t>No placeholder or false claims.</t>
  </si>
  <si>
    <t>E-033</t>
  </si>
  <si>
    <t>Upload and distribute APK/AAB to testers.</t>
  </si>
  <si>
    <t>P10 Testing</t>
  </si>
  <si>
    <t>Firebase tester setup</t>
  </si>
  <si>
    <t>https://firebase.google.com/docs/app-distribution/get-set-up-as-a-tester</t>
  </si>
  <si>
    <t>Upload AAB to internal testing; add testers; install from Play opt-in link and test upgrade path.</t>
  </si>
  <si>
    <t>Internal track installation verified; issues fixed.</t>
  </si>
  <si>
    <t>Accept invite and install tester build.</t>
  </si>
  <si>
    <t>E-031,E-032</t>
  </si>
  <si>
    <t>Play personal account testing</t>
  </si>
  <si>
    <t>Different from Firebase distribution.</t>
  </si>
  <si>
    <t>E-034</t>
  </si>
  <si>
    <t>Closed test and production access</t>
  </si>
  <si>
    <t>For applicable new personal accounts, maintain at least 12 opted-in testers continuously for 14 days, then apply for production access.</t>
  </si>
  <si>
    <t>Test evidence and production-access application recorded.</t>
  </si>
  <si>
    <t>Applicable new personal accounts: closed test, 12 opted-in testers continuously for 14 days before production access request.</t>
  </si>
  <si>
    <t>External wait</t>
  </si>
  <si>
    <t>Verify account-specific current rules.</t>
  </si>
  <si>
    <t>Official current target API requirements; checked Oct 2026 page states API 36+ for new apps/updates from Aug 31 2026, subject to policy exceptions.</t>
  </si>
  <si>
    <t>P10 Release</t>
  </si>
  <si>
    <t>Google Play Console</t>
  </si>
  <si>
    <t>Release readiness gate</t>
  </si>
  <si>
    <t>https://play.google.com/console/</t>
  </si>
  <si>
    <t>Review test evidence, policies, crash status, support, moderation, backup, rollback and owner approval.</t>
  </si>
  <si>
    <t>Written go/no-go; no critical/high issue unresolved.</t>
  </si>
  <si>
    <t>Owner + reviewers</t>
  </si>
  <si>
    <t>App setup, testing tracks, submission.</t>
  </si>
  <si>
    <t>E-027,E-032,E-034</t>
  </si>
  <si>
    <t>Apple Developer</t>
  </si>
  <si>
    <t>https://developer.apple.com/programs/</t>
  </si>
  <si>
    <t>Human approval</t>
  </si>
  <si>
    <t>No unattended publishing.</t>
  </si>
  <si>
    <t>E-036</t>
  </si>
  <si>
    <t>Apple Developer Program.</t>
  </si>
  <si>
    <t>Submit to production</t>
  </si>
  <si>
    <t>App Store Connect</t>
  </si>
  <si>
    <t>https://appstoreconnect.apple.com/</t>
  </si>
  <si>
    <t>Submit signed AAB; answer review questions; resolve feedback; staged rollout if available.</t>
  </si>
  <si>
    <t>Play Console reports approved/released and public URL is recorded.</t>
  </si>
  <si>
    <t>iOS builds, TestFlight and App Store.</t>
  </si>
  <si>
    <t>Supabase docs</t>
  </si>
  <si>
    <t>Human action</t>
  </si>
  <si>
    <t>Review timing is not guaranteed.</t>
  </si>
  <si>
    <t>E-037</t>
  </si>
  <si>
    <t>How To Use</t>
  </si>
  <si>
    <t>P11 Ops</t>
  </si>
  <si>
    <t>https://supabase.com/docs</t>
  </si>
  <si>
    <t>Monitor and improve</t>
  </si>
  <si>
    <t>Monitor crashes, auth, listings, reports, support and costs; define hotfix/rollback process.</t>
  </si>
  <si>
    <t>Use this workbook as a living task system with Cursor Agent.</t>
  </si>
  <si>
    <t>Alerts and operational owner assigned; review cadence active.</t>
  </si>
  <si>
    <t>Rule</t>
  </si>
  <si>
    <t>Auth, Postgres, storage, RLS, functions.</t>
  </si>
  <si>
    <t>Action</t>
  </si>
  <si>
    <t>GitHub Actions</t>
  </si>
  <si>
    <t>Ongoing</t>
  </si>
  <si>
    <t>https://docs.github.com/actions</t>
  </si>
  <si>
    <t>Launch begins operations.</t>
  </si>
  <si>
    <t>Reminder</t>
  </si>
  <si>
    <t>E-038</t>
  </si>
  <si>
    <t>1. Start</t>
  </si>
  <si>
    <t>P11 iOS</t>
  </si>
  <si>
    <t>Prepare iOS release</t>
  </si>
  <si>
    <t>Automated CI and build workflows.</t>
  </si>
  <si>
    <t>Read DASHBOARD, then approve D-01 through D-10 in DECISIONS. Start E-001 in EXECUTION_PIPELINE.</t>
  </si>
  <si>
    <t>Use Mac/Xcode or macOS CI; configure signing, iOS tests, TestFlight and App Store metadata.</t>
  </si>
  <si>
    <t>Do not begin with all features.</t>
  </si>
  <si>
    <t>iOS release candidate passes checks and is ready for separate review.</t>
  </si>
  <si>
    <t>2. Task prompt</t>
  </si>
  <si>
    <t>E-025,E-027</t>
  </si>
  <si>
    <t>Copy the relevant prompt from CURSOR_PROMPTS and replace placeholders with exact step ID/work package.</t>
  </si>
  <si>
    <t>One task per Cursor session is easiest to review.</t>
  </si>
  <si>
    <t>Separate approval</t>
  </si>
  <si>
    <t>3. Evidence</t>
  </si>
  <si>
    <t>Do not block Android MVP.</t>
  </si>
  <si>
    <t>Save command outputs, screenshots, test results, build artifact links and decisions in GitHub/docs or the relevant tracker.</t>
  </si>
  <si>
    <t>Do not mark Done without evidence.</t>
  </si>
  <si>
    <t>4. Phone now</t>
  </si>
  <si>
    <t>Complete E-002 through E-006 for a first local Android install; no backend needed for the first shell.</t>
  </si>
  <si>
    <t>This is the earliest phone milestone.</t>
  </si>
  <si>
    <t>5. Continuous testing</t>
  </si>
  <si>
    <t>Complete E-028/029 to distribute new test builds via Firebase; keep version/build numbers increasing and signing consistent.</t>
  </si>
  <si>
    <t>Each code/UI change usually requires reinstalling a new build.</t>
  </si>
  <si>
    <t>6. Live updates</t>
  </si>
  <si>
    <t>Deploy backend/content changes independently when backward-compatible; document migrations and rollback.</t>
  </si>
  <si>
    <t>Not the same as hot-reloading app code.</t>
  </si>
  <si>
    <t>7. Store</t>
  </si>
  <si>
    <t>Follow PLAYSTORE_CHECKLIST; the store review and any required closed-test period cannot be automated away.</t>
  </si>
  <si>
    <t>Google controls approval.</t>
  </si>
  <si>
    <t>8. iOS</t>
  </si>
  <si>
    <t>Maintain iOS target from day one but schedule signing/TestFlight/App Store steps on macOS/Xcode.</t>
  </si>
  <si>
    <t>Android can be first without abandoning 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</si>
</sst>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color rgb="FF5B6573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2.0"/>
      <color rgb="FF18243A"/>
      <name val="Calibri"/>
      <scheme val="minor"/>
    </font>
    <font>
      <b/>
      <color theme="1"/>
      <name val="Calibri"/>
      <scheme val="minor"/>
    </font>
    <font>
      <u/>
      <sz val="12.0"/>
      <color theme="10"/>
      <name val="Calibri"/>
    </font>
    <font>
      <u/>
      <sz val="12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8243A"/>
        <bgColor rgb="FF18243A"/>
      </patternFill>
    </fill>
    <fill>
      <patternFill patternType="solid">
        <fgColor rgb="FFF8FAFC"/>
        <bgColor rgb="FFF8FAFC"/>
      </patternFill>
    </fill>
    <fill>
      <patternFill patternType="solid">
        <fgColor rgb="FFF2F4F7"/>
        <bgColor rgb="FFF2F4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E0E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left" readingOrder="0" shrinkToFit="0" vertical="center" wrapText="1"/>
    </xf>
    <xf borderId="5" fillId="0" fontId="5" numFmtId="0" xfId="0" applyAlignment="1" applyBorder="1" applyFont="1">
      <alignment shrinkToFit="0" vertical="top" wrapText="1"/>
    </xf>
    <xf borderId="5" fillId="3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4" fillId="4" fontId="7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7EEDB"/>
          <bgColor rgb="FFF7EEDB"/>
        </patternFill>
      </fill>
      <border/>
    </dxf>
  </dxfs>
  <tableStyles count="9">
    <tableStyle count="4" pivot="0" name="EXECUTION_PIP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ONE_LIVE_UPD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SOR_PROMP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STORE_CHECK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CURITY_G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ICIAL_REFERE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W_TO_U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14" displayName="DashboardGuide" name="DashboardGuide" id="2">
  <tableColumns count="3">
    <tableColumn name="Topic" id="1"/>
    <tableColumn name="Recommendation" id="2"/>
    <tableColumn name="Details" id="3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4:J42" displayName="ExecutionPipeline" name="ExecutionPipeline" id="3">
  <tableColumns count="10">
    <tableColumn name="Step ID" id="1"/>
    <tableColumn name="Phase" id="2"/>
    <tableColumn name="Work package" id="3"/>
    <tableColumn name="Detailed actions" id="4"/>
    <tableColumn name="Definition of done / evidence" id="5"/>
    <tableColumn name="Owner" id="6"/>
    <tableColumn name="Dependencies" id="7"/>
    <tableColumn name="Status" id="8"/>
    <tableColumn name="Approval type" id="9"/>
    <tableColumn name="Notes" id="10"/>
  </tableColumns>
  <tableStyleInfo name="EXECUTION_PIPELINE-style" showColumnStripes="0" showFirstColumn="1" showLastColumn="1" showRowStripes="1"/>
</table>
</file>

<file path=xl/tables/table3.xml><?xml version="1.0" encoding="utf-8"?>
<table xmlns="http://schemas.openxmlformats.org/spreadsheetml/2006/main" ref="A4:D12" displayName="CursorPrompts" name="CursorPrompts" id="4">
  <tableColumns count="4">
    <tableColumn name="Prompt ID" id="1"/>
    <tableColumn name="Purpose" id="2"/>
    <tableColumn name="Prompt to paste into Cursor" id="3"/>
    <tableColumn name="Use when" id="4"/>
  </tableColumns>
  <tableStyleInfo name="CURSOR_PROMPTS-style" showColumnStripes="0" showFirstColumn="1" showLastColumn="1" showRowStripes="1"/>
</table>
</file>

<file path=xl/tables/table4.xml><?xml version="1.0" encoding="utf-8"?>
<table xmlns="http://schemas.openxmlformats.org/spreadsheetml/2006/main" ref="A4:E13" displayName="LiveUpdatePlan" name="LiveUpdatePlan" id="1">
  <tableColumns count="5">
    <tableColumn name="ID" id="1"/>
    <tableColumn name="Goal" id="2"/>
    <tableColumn name="Steps" id="3"/>
    <tableColumn name="Success condition" id="4"/>
    <tableColumn name="Channel" id="5"/>
  </tableColumns>
  <tableStyleInfo name="PHONE_LIVE_UPDATES-style" showColumnStripes="0" showFirstColumn="1" showLastColumn="1" showRowStripes="1"/>
</table>
</file>

<file path=xl/tables/table5.xml><?xml version="1.0" encoding="utf-8"?>
<table xmlns="http://schemas.openxmlformats.org/spreadsheetml/2006/main" ref="A4:F14" displayName="DecisionLog" name="DecisionLog" id="5">
  <tableColumns count="6">
    <tableColumn name="ID" id="1"/>
    <tableColumn name="Decision" id="2"/>
    <tableColumn name="Recommended default" id="3"/>
    <tableColumn name="Alternative / note" id="4"/>
    <tableColumn name="Status" id="5"/>
    <tableColumn name="Approver" id="6"/>
  </tableColumns>
  <tableStyleInfo name="DECISIONS-style" showColumnStripes="0" showFirstColumn="1" showLastColumn="1" showRowStripes="1"/>
</table>
</file>

<file path=xl/tables/table6.xml><?xml version="1.0" encoding="utf-8"?>
<table xmlns="http://schemas.openxmlformats.org/spreadsheetml/2006/main" ref="A4:F15" displayName="PlayReleaseChecklist" name="PlayReleaseChecklist" id="6">
  <tableColumns count="6">
    <tableColumn name="ID" id="1"/>
    <tableColumn name="Checklist" id="2"/>
    <tableColumn name="Acceptance criteria" id="3"/>
    <tableColumn name="Owner" id="4"/>
    <tableColumn name="Status" id="5"/>
    <tableColumn name="Notes" id="6"/>
  </tableColumns>
  <tableStyleInfo name="PLAYSTORE_CHECKLIST-style" showColumnStripes="0" showFirstColumn="1" showLastColumn="1" showRowStripes="1"/>
</table>
</file>

<file path=xl/tables/table7.xml><?xml version="1.0" encoding="utf-8"?>
<table xmlns="http://schemas.openxmlformats.org/spreadsheetml/2006/main" ref="A4:E15" displayName="SecurityGates" name="SecurityGates" id="7">
  <tableColumns count="5">
    <tableColumn name="ID" id="1"/>
    <tableColumn name="Gate" id="2"/>
    <tableColumn name="Acceptance criteria" id="3"/>
    <tableColumn name="Status" id="4"/>
    <tableColumn name="Evidence" id="5"/>
  </tableColumns>
  <tableStyleInfo name="SECURITY_GATES-style" showColumnStripes="0" showFirstColumn="1" showLastColumn="1" showRowStripes="1"/>
</table>
</file>

<file path=xl/tables/table8.xml><?xml version="1.0" encoding="utf-8"?>
<table xmlns="http://schemas.openxmlformats.org/spreadsheetml/2006/main" ref="A4:C15" displayName="OfficialReferences" name="OfficialReferences" id="8">
  <tableColumns count="3">
    <tableColumn name="Reference" id="1"/>
    <tableColumn name="Official URL" id="2"/>
    <tableColumn name="Why it matters" id="3"/>
  </tableColumns>
  <tableStyleInfo name="OFFICIAL_REFERENCES-style" showColumnStripes="0" showFirstColumn="1" showLastColumn="1" showRowStripes="1"/>
</table>
</file>

<file path=xl/tables/table9.xml><?xml version="1.0" encoding="utf-8"?>
<table xmlns="http://schemas.openxmlformats.org/spreadsheetml/2006/main" ref="A4:C12" displayName="HowToUseTable" name="HowToUseTable" id="9">
  <tableColumns count="3">
    <tableColumn name="Rule" id="1"/>
    <tableColumn name="Action" id="2"/>
    <tableColumn name="Reminder" id="3"/>
  </tableColumns>
  <tableStyleInfo name="HOW_TO_U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lutter.dev/deployment/android" TargetMode="External"/><Relationship Id="rId2" Type="http://schemas.openxmlformats.org/officeDocument/2006/relationships/hyperlink" Target="https://firebase.google.com/docs/app-distribution/android/distribute-console" TargetMode="External"/><Relationship Id="rId3" Type="http://schemas.openxmlformats.org/officeDocument/2006/relationships/hyperlink" Target="https://support.google.com/googleplay/android-developer/answer/14151465?hl=en" TargetMode="External"/><Relationship Id="rId4" Type="http://schemas.openxmlformats.org/officeDocument/2006/relationships/hyperlink" Target="https://support.google.com/googleplay/android-developer/answer/11926878?hl=en-EN" TargetMode="External"/><Relationship Id="rId5" Type="http://schemas.openxmlformats.org/officeDocument/2006/relationships/hyperlink" Target="https://docs.flutter.dev/get-started/install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ithub.com/actions" TargetMode="External"/><Relationship Id="rId10" Type="http://schemas.openxmlformats.org/officeDocument/2006/relationships/hyperlink" Target="https://supabase.com/docs" TargetMode="External"/><Relationship Id="rId12" Type="http://schemas.openxmlformats.org/officeDocument/2006/relationships/drawing" Target="../drawings/drawing8.xml"/><Relationship Id="rId1" Type="http://schemas.openxmlformats.org/officeDocument/2006/relationships/hyperlink" Target="https://docs.flutter.dev/get-started/install" TargetMode="External"/><Relationship Id="rId2" Type="http://schemas.openxmlformats.org/officeDocument/2006/relationships/hyperlink" Target="https://docs.flutter.dev/deployment/android" TargetMode="External"/><Relationship Id="rId3" Type="http://schemas.openxmlformats.org/officeDocument/2006/relationships/hyperlink" Target="https://firebase.google.com/docs/app-distribution/android/distribute-console" TargetMode="External"/><Relationship Id="rId4" Type="http://schemas.openxmlformats.org/officeDocument/2006/relationships/hyperlink" Target="https://firebase.google.com/docs/app-distribution/get-set-up-as-a-tester" TargetMode="External"/><Relationship Id="rId9" Type="http://schemas.openxmlformats.org/officeDocument/2006/relationships/hyperlink" Target="https://appstoreconnect.apple.com/" TargetMode="External"/><Relationship Id="rId14" Type="http://schemas.openxmlformats.org/officeDocument/2006/relationships/table" Target="../tables/table8.xml"/><Relationship Id="rId5" Type="http://schemas.openxmlformats.org/officeDocument/2006/relationships/hyperlink" Target="https://support.google.com/googleplay/android-developer/answer/14151465?hl=en" TargetMode="External"/><Relationship Id="rId6" Type="http://schemas.openxmlformats.org/officeDocument/2006/relationships/hyperlink" Target="https://support.google.com/googleplay/android-developer/answer/11926878?hl=en-EN" TargetMode="External"/><Relationship Id="rId7" Type="http://schemas.openxmlformats.org/officeDocument/2006/relationships/hyperlink" Target="https://play.google.com/console/" TargetMode="External"/><Relationship Id="rId8" Type="http://schemas.openxmlformats.org/officeDocument/2006/relationships/hyperlink" Target="https://developer.apple.com/programs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243A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70.0"/>
    <col customWidth="1" min="4" max="26" width="8.71"/>
  </cols>
  <sheetData>
    <row r="1" ht="31.5" customHeight="1">
      <c r="A1" s="1" t="s">
        <v>2</v>
      </c>
      <c r="B1" s="2"/>
      <c r="C1" s="3"/>
    </row>
    <row r="2" ht="33.75" customHeight="1">
      <c r="A2" s="4" t="s">
        <v>6</v>
      </c>
    </row>
    <row r="4">
      <c r="A4" s="5" t="s">
        <v>9</v>
      </c>
      <c r="B4" s="5" t="s">
        <v>12</v>
      </c>
      <c r="C4" s="5" t="s">
        <v>16</v>
      </c>
    </row>
    <row r="5">
      <c r="A5" s="6" t="s">
        <v>23</v>
      </c>
      <c r="B5" s="6" t="s">
        <v>27</v>
      </c>
      <c r="C5" s="6" t="s">
        <v>31</v>
      </c>
    </row>
    <row r="6">
      <c r="A6" s="7" t="s">
        <v>37</v>
      </c>
      <c r="B6" s="7" t="s">
        <v>41</v>
      </c>
      <c r="C6" s="7" t="s">
        <v>45</v>
      </c>
    </row>
    <row r="7">
      <c r="A7" s="6" t="s">
        <v>49</v>
      </c>
      <c r="B7" s="6" t="s">
        <v>52</v>
      </c>
      <c r="C7" s="6" t="s">
        <v>55</v>
      </c>
    </row>
    <row r="8">
      <c r="A8" s="7" t="s">
        <v>59</v>
      </c>
      <c r="B8" s="7" t="s">
        <v>61</v>
      </c>
      <c r="C8" s="7" t="s">
        <v>64</v>
      </c>
    </row>
    <row r="9">
      <c r="A9" s="6" t="s">
        <v>68</v>
      </c>
      <c r="B9" s="6" t="s">
        <v>72</v>
      </c>
      <c r="C9" s="6" t="s">
        <v>75</v>
      </c>
    </row>
    <row r="10">
      <c r="A10" s="7" t="s">
        <v>79</v>
      </c>
      <c r="B10" s="7" t="s">
        <v>81</v>
      </c>
      <c r="C10" s="7" t="s">
        <v>84</v>
      </c>
    </row>
    <row r="11">
      <c r="A11" s="6" t="s">
        <v>89</v>
      </c>
      <c r="B11" s="6" t="s">
        <v>93</v>
      </c>
      <c r="C11" s="6" t="s">
        <v>96</v>
      </c>
    </row>
    <row r="12">
      <c r="A12" s="7" t="s">
        <v>99</v>
      </c>
      <c r="B12" s="7" t="s">
        <v>102</v>
      </c>
      <c r="C12" s="7" t="s">
        <v>106</v>
      </c>
    </row>
    <row r="13">
      <c r="A13" s="6" t="s">
        <v>110</v>
      </c>
      <c r="B13" s="6" t="s">
        <v>122</v>
      </c>
      <c r="C13" s="6" t="s">
        <v>126</v>
      </c>
    </row>
    <row r="14">
      <c r="A14" s="7" t="s">
        <v>130</v>
      </c>
      <c r="B14" s="7" t="s">
        <v>133</v>
      </c>
      <c r="C14" s="7" t="s">
        <v>136</v>
      </c>
    </row>
    <row r="17">
      <c r="A17" s="8" t="s">
        <v>140</v>
      </c>
    </row>
    <row r="18">
      <c r="A18" s="9" t="s">
        <v>144</v>
      </c>
      <c r="B18" s="10">
        <f>COUNTA(EXECUTION_PIPELINE!A5:A42)</f>
        <v>38</v>
      </c>
    </row>
    <row r="19">
      <c r="A19" s="9" t="s">
        <v>157</v>
      </c>
      <c r="B19" s="10">
        <f>COUNTIF(EXECUTION_PIPELINE!H5:H42,"Done")</f>
        <v>0</v>
      </c>
    </row>
    <row r="20">
      <c r="A20" s="9" t="s">
        <v>164</v>
      </c>
      <c r="B20" s="10">
        <f>COUNTIF(EXECUTION_PIPELINE!H5:H42,"Blocked")</f>
        <v>0</v>
      </c>
    </row>
    <row r="21" ht="15.75" customHeight="1">
      <c r="A21" s="9" t="s">
        <v>168</v>
      </c>
      <c r="B21" s="10">
        <f>COUNTIF(EXECUTION_PIPELINE!H5:H42,"Review required")</f>
        <v>0</v>
      </c>
    </row>
    <row r="22" ht="15.75" customHeight="1"/>
    <row r="23" ht="15.75" customHeight="1"/>
    <row r="24" ht="15.75" customHeight="1">
      <c r="A24" s="8" t="s">
        <v>170</v>
      </c>
    </row>
    <row r="25" ht="15.75" customHeight="1">
      <c r="A25" s="10" t="s">
        <v>171</v>
      </c>
      <c r="B25" s="11" t="s">
        <v>173</v>
      </c>
    </row>
    <row r="26" ht="15.75" customHeight="1">
      <c r="A26" s="10" t="s">
        <v>72</v>
      </c>
      <c r="B26" s="11" t="s">
        <v>178</v>
      </c>
    </row>
    <row r="27" ht="15.75" customHeight="1">
      <c r="A27" s="10" t="s">
        <v>184</v>
      </c>
      <c r="B27" s="11" t="s">
        <v>185</v>
      </c>
    </row>
    <row r="28" ht="15.75" customHeight="1">
      <c r="A28" s="10" t="s">
        <v>191</v>
      </c>
      <c r="B28" s="11" t="s">
        <v>192</v>
      </c>
    </row>
    <row r="29" ht="15.75" customHeight="1">
      <c r="A29" s="10" t="s">
        <v>196</v>
      </c>
      <c r="B29" s="11" t="s">
        <v>197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875D02D-36D1-47C7-B36B-CA4A535EA54D}" filter="1" showAutoFilter="1">
      <autoFilter ref="$A$4:$C$14"/>
    </customSheetView>
  </customSheetViews>
  <mergeCells count="2">
    <mergeCell ref="A1:C1"/>
    <mergeCell ref="A2:C2"/>
  </mergeCells>
  <hyperlinks>
    <hyperlink r:id="rId1" ref="B25"/>
    <hyperlink r:id="rId2" ref="B26"/>
    <hyperlink r:id="rId3" ref="B27"/>
    <hyperlink r:id="rId4" ref="B28"/>
    <hyperlink r:id="rId5" ref="B29"/>
  </hyperlinks>
  <printOptions/>
  <pageMargins bottom="0.5" footer="0.0" header="0.0" left="0.25" right="0.25" top="0.5"/>
  <pageSetup fitToHeight="0" orientation="landscape"/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243A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25.0"/>
    <col customWidth="1" min="4" max="4" width="54.0"/>
    <col customWidth="1" min="5" max="5" width="48.0"/>
    <col customWidth="1" min="6" max="6" width="22.0"/>
    <col customWidth="1" min="7" max="7" width="18.0"/>
    <col customWidth="1" min="8" max="8" width="19.0"/>
    <col customWidth="1" min="9" max="9" width="24.0"/>
    <col customWidth="1" min="10" max="10" width="36.0"/>
    <col customWidth="1" min="11" max="26" width="8.71"/>
  </cols>
  <sheetData>
    <row r="1" ht="31.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3"/>
    </row>
    <row r="2" ht="33.75" customHeight="1">
      <c r="A2" s="4" t="s">
        <v>7</v>
      </c>
    </row>
    <row r="4">
      <c r="A4" s="5" t="s">
        <v>11</v>
      </c>
      <c r="B4" s="5" t="s">
        <v>15</v>
      </c>
      <c r="C4" s="5" t="s">
        <v>19</v>
      </c>
      <c r="D4" s="5" t="s">
        <v>22</v>
      </c>
      <c r="E4" s="5" t="s">
        <v>25</v>
      </c>
      <c r="F4" s="5" t="s">
        <v>29</v>
      </c>
      <c r="G4" s="5" t="s">
        <v>34</v>
      </c>
      <c r="H4" s="5" t="s">
        <v>38</v>
      </c>
      <c r="I4" s="5" t="s">
        <v>42</v>
      </c>
      <c r="J4" s="5" t="s">
        <v>46</v>
      </c>
    </row>
    <row r="5">
      <c r="A5" s="6" t="s">
        <v>53</v>
      </c>
      <c r="B5" s="6" t="s">
        <v>58</v>
      </c>
      <c r="C5" s="6" t="s">
        <v>63</v>
      </c>
      <c r="D5" s="6" t="s">
        <v>67</v>
      </c>
      <c r="E5" s="6" t="s">
        <v>71</v>
      </c>
      <c r="F5" s="6" t="s">
        <v>29</v>
      </c>
      <c r="G5" s="6" t="s">
        <v>78</v>
      </c>
      <c r="H5" s="6" t="s">
        <v>85</v>
      </c>
      <c r="I5" s="6" t="s">
        <v>88</v>
      </c>
      <c r="J5" s="6" t="s">
        <v>92</v>
      </c>
    </row>
    <row r="6">
      <c r="A6" s="7" t="s">
        <v>97</v>
      </c>
      <c r="B6" s="7" t="s">
        <v>100</v>
      </c>
      <c r="C6" s="7" t="s">
        <v>103</v>
      </c>
      <c r="D6" s="7" t="s">
        <v>107</v>
      </c>
      <c r="E6" s="7" t="s">
        <v>111</v>
      </c>
      <c r="F6" s="7" t="s">
        <v>29</v>
      </c>
      <c r="G6" s="7" t="s">
        <v>53</v>
      </c>
      <c r="H6" s="7" t="s">
        <v>85</v>
      </c>
      <c r="I6" s="7" t="s">
        <v>119</v>
      </c>
      <c r="J6" s="7" t="s">
        <v>123</v>
      </c>
    </row>
    <row r="7">
      <c r="A7" s="6" t="s">
        <v>128</v>
      </c>
      <c r="B7" s="6" t="s">
        <v>100</v>
      </c>
      <c r="C7" s="6" t="s">
        <v>135</v>
      </c>
      <c r="D7" s="6" t="s">
        <v>138</v>
      </c>
      <c r="E7" s="6" t="s">
        <v>141</v>
      </c>
      <c r="F7" s="6" t="s">
        <v>146</v>
      </c>
      <c r="G7" s="6" t="s">
        <v>97</v>
      </c>
      <c r="H7" s="6" t="s">
        <v>85</v>
      </c>
      <c r="I7" s="6" t="s">
        <v>150</v>
      </c>
      <c r="J7" s="6" t="s">
        <v>152</v>
      </c>
    </row>
    <row r="8">
      <c r="A8" s="7" t="s">
        <v>155</v>
      </c>
      <c r="B8" s="7" t="s">
        <v>100</v>
      </c>
      <c r="C8" s="7" t="s">
        <v>159</v>
      </c>
      <c r="D8" s="7" t="s">
        <v>161</v>
      </c>
      <c r="E8" s="7" t="s">
        <v>163</v>
      </c>
      <c r="F8" s="7" t="s">
        <v>166</v>
      </c>
      <c r="G8" s="7" t="s">
        <v>128</v>
      </c>
      <c r="H8" s="7" t="s">
        <v>85</v>
      </c>
      <c r="I8" s="7" t="s">
        <v>150</v>
      </c>
      <c r="J8" s="7" t="s">
        <v>169</v>
      </c>
    </row>
    <row r="9">
      <c r="A9" s="6" t="s">
        <v>172</v>
      </c>
      <c r="B9" s="6" t="s">
        <v>100</v>
      </c>
      <c r="C9" s="6" t="s">
        <v>174</v>
      </c>
      <c r="D9" s="6" t="s">
        <v>175</v>
      </c>
      <c r="E9" s="6" t="s">
        <v>176</v>
      </c>
      <c r="F9" s="6" t="s">
        <v>166</v>
      </c>
      <c r="G9" s="6" t="s">
        <v>155</v>
      </c>
      <c r="H9" s="6" t="s">
        <v>85</v>
      </c>
      <c r="I9" s="6" t="s">
        <v>150</v>
      </c>
      <c r="J9" s="6" t="s">
        <v>177</v>
      </c>
    </row>
    <row r="10">
      <c r="A10" s="7" t="s">
        <v>179</v>
      </c>
      <c r="B10" s="7" t="s">
        <v>180</v>
      </c>
      <c r="C10" s="7" t="s">
        <v>181</v>
      </c>
      <c r="D10" s="7" t="s">
        <v>182</v>
      </c>
      <c r="E10" s="7" t="s">
        <v>183</v>
      </c>
      <c r="F10" s="7" t="s">
        <v>146</v>
      </c>
      <c r="G10" s="7" t="s">
        <v>155</v>
      </c>
      <c r="H10" s="7" t="s">
        <v>85</v>
      </c>
      <c r="I10" s="7" t="s">
        <v>150</v>
      </c>
      <c r="J10" s="7" t="s">
        <v>186</v>
      </c>
    </row>
    <row r="11">
      <c r="A11" s="6" t="s">
        <v>187</v>
      </c>
      <c r="B11" s="6" t="s">
        <v>188</v>
      </c>
      <c r="C11" s="6" t="s">
        <v>189</v>
      </c>
      <c r="D11" s="6" t="s">
        <v>190</v>
      </c>
      <c r="E11" s="6" t="s">
        <v>193</v>
      </c>
      <c r="F11" s="6" t="s">
        <v>29</v>
      </c>
      <c r="G11" s="6" t="s">
        <v>53</v>
      </c>
      <c r="H11" s="6" t="s">
        <v>85</v>
      </c>
      <c r="I11" s="6" t="s">
        <v>194</v>
      </c>
      <c r="J11" s="6" t="s">
        <v>195</v>
      </c>
    </row>
    <row r="12">
      <c r="A12" s="7" t="s">
        <v>198</v>
      </c>
      <c r="B12" s="7" t="s">
        <v>199</v>
      </c>
      <c r="C12" s="7" t="s">
        <v>200</v>
      </c>
      <c r="D12" s="7" t="s">
        <v>201</v>
      </c>
      <c r="E12" s="7" t="s">
        <v>202</v>
      </c>
      <c r="F12" s="7" t="s">
        <v>146</v>
      </c>
      <c r="G12" s="7" t="s">
        <v>187</v>
      </c>
      <c r="H12" s="7" t="s">
        <v>85</v>
      </c>
      <c r="I12" s="7" t="s">
        <v>203</v>
      </c>
      <c r="J12" s="7" t="s">
        <v>204</v>
      </c>
    </row>
    <row r="13">
      <c r="A13" s="6" t="s">
        <v>205</v>
      </c>
      <c r="B13" s="6" t="s">
        <v>199</v>
      </c>
      <c r="C13" s="6" t="s">
        <v>206</v>
      </c>
      <c r="D13" s="6" t="s">
        <v>207</v>
      </c>
      <c r="E13" s="6" t="s">
        <v>208</v>
      </c>
      <c r="F13" s="6" t="s">
        <v>166</v>
      </c>
      <c r="G13" s="6" t="s">
        <v>198</v>
      </c>
      <c r="H13" s="6" t="s">
        <v>85</v>
      </c>
      <c r="I13" s="6" t="s">
        <v>209</v>
      </c>
      <c r="J13" s="6" t="s">
        <v>210</v>
      </c>
    </row>
    <row r="14">
      <c r="A14" s="7" t="s">
        <v>211</v>
      </c>
      <c r="B14" s="7" t="s">
        <v>212</v>
      </c>
      <c r="C14" s="7" t="s">
        <v>213</v>
      </c>
      <c r="D14" s="7" t="s">
        <v>214</v>
      </c>
      <c r="E14" s="7" t="s">
        <v>215</v>
      </c>
      <c r="F14" s="7" t="s">
        <v>216</v>
      </c>
      <c r="G14" s="7" t="s">
        <v>205</v>
      </c>
      <c r="H14" s="7" t="s">
        <v>85</v>
      </c>
      <c r="I14" s="7" t="s">
        <v>217</v>
      </c>
      <c r="J14" s="7" t="s">
        <v>218</v>
      </c>
    </row>
    <row r="15">
      <c r="A15" s="6" t="s">
        <v>219</v>
      </c>
      <c r="B15" s="6" t="s">
        <v>220</v>
      </c>
      <c r="C15" s="6" t="s">
        <v>221</v>
      </c>
      <c r="D15" s="6" t="s">
        <v>222</v>
      </c>
      <c r="E15" s="6" t="s">
        <v>223</v>
      </c>
      <c r="F15" s="6" t="s">
        <v>224</v>
      </c>
      <c r="G15" s="6" t="s">
        <v>155</v>
      </c>
      <c r="H15" s="6" t="s">
        <v>85</v>
      </c>
      <c r="I15" s="6" t="s">
        <v>225</v>
      </c>
      <c r="J15" s="6" t="s">
        <v>226</v>
      </c>
    </row>
    <row r="16">
      <c r="A16" s="7" t="s">
        <v>227</v>
      </c>
      <c r="B16" s="7" t="s">
        <v>228</v>
      </c>
      <c r="C16" s="7" t="s">
        <v>229</v>
      </c>
      <c r="D16" s="7" t="s">
        <v>230</v>
      </c>
      <c r="E16" s="7" t="s">
        <v>231</v>
      </c>
      <c r="F16" s="7" t="s">
        <v>166</v>
      </c>
      <c r="G16" s="7" t="s">
        <v>232</v>
      </c>
      <c r="H16" s="7" t="s">
        <v>85</v>
      </c>
      <c r="I16" s="7" t="s">
        <v>209</v>
      </c>
      <c r="J16" s="7" t="s">
        <v>234</v>
      </c>
    </row>
    <row r="17">
      <c r="A17" s="6" t="s">
        <v>235</v>
      </c>
      <c r="B17" s="6" t="s">
        <v>237</v>
      </c>
      <c r="C17" s="6" t="s">
        <v>238</v>
      </c>
      <c r="D17" s="6" t="s">
        <v>239</v>
      </c>
      <c r="E17" s="6" t="s">
        <v>241</v>
      </c>
      <c r="F17" s="6" t="s">
        <v>166</v>
      </c>
      <c r="G17" s="6" t="s">
        <v>245</v>
      </c>
      <c r="H17" s="6" t="s">
        <v>85</v>
      </c>
      <c r="I17" s="6" t="s">
        <v>209</v>
      </c>
      <c r="J17" s="6" t="s">
        <v>248</v>
      </c>
    </row>
    <row r="18">
      <c r="A18" s="7" t="s">
        <v>251</v>
      </c>
      <c r="B18" s="7" t="s">
        <v>254</v>
      </c>
      <c r="C18" s="7" t="s">
        <v>256</v>
      </c>
      <c r="D18" s="7" t="s">
        <v>258</v>
      </c>
      <c r="E18" s="7" t="s">
        <v>259</v>
      </c>
      <c r="F18" s="7" t="s">
        <v>166</v>
      </c>
      <c r="G18" s="7" t="s">
        <v>235</v>
      </c>
      <c r="H18" s="7" t="s">
        <v>85</v>
      </c>
      <c r="I18" s="7" t="s">
        <v>150</v>
      </c>
      <c r="J18" s="7" t="s">
        <v>266</v>
      </c>
    </row>
    <row r="19">
      <c r="A19" s="6" t="s">
        <v>269</v>
      </c>
      <c r="B19" s="6" t="s">
        <v>271</v>
      </c>
      <c r="C19" s="6" t="s">
        <v>274</v>
      </c>
      <c r="D19" s="6" t="s">
        <v>277</v>
      </c>
      <c r="E19" s="6" t="s">
        <v>280</v>
      </c>
      <c r="F19" s="6" t="s">
        <v>166</v>
      </c>
      <c r="G19" s="6" t="s">
        <v>235</v>
      </c>
      <c r="H19" s="6" t="s">
        <v>85</v>
      </c>
      <c r="I19" s="6" t="s">
        <v>150</v>
      </c>
      <c r="J19" s="6" t="s">
        <v>287</v>
      </c>
    </row>
    <row r="20">
      <c r="A20" s="7" t="s">
        <v>289</v>
      </c>
      <c r="B20" s="7" t="s">
        <v>291</v>
      </c>
      <c r="C20" s="7" t="s">
        <v>292</v>
      </c>
      <c r="D20" s="7" t="s">
        <v>293</v>
      </c>
      <c r="E20" s="7" t="s">
        <v>295</v>
      </c>
      <c r="F20" s="7" t="s">
        <v>166</v>
      </c>
      <c r="G20" s="7" t="s">
        <v>303</v>
      </c>
      <c r="H20" s="7" t="s">
        <v>85</v>
      </c>
      <c r="I20" s="7" t="s">
        <v>194</v>
      </c>
      <c r="J20" s="7" t="s">
        <v>309</v>
      </c>
    </row>
    <row r="21" ht="15.75" customHeight="1">
      <c r="A21" s="6" t="s">
        <v>312</v>
      </c>
      <c r="B21" s="6" t="s">
        <v>314</v>
      </c>
      <c r="C21" s="6" t="s">
        <v>318</v>
      </c>
      <c r="D21" s="6" t="s">
        <v>322</v>
      </c>
      <c r="E21" s="6" t="s">
        <v>324</v>
      </c>
      <c r="F21" s="6" t="s">
        <v>166</v>
      </c>
      <c r="G21" s="6" t="s">
        <v>328</v>
      </c>
      <c r="H21" s="6" t="s">
        <v>85</v>
      </c>
      <c r="I21" s="6" t="s">
        <v>194</v>
      </c>
      <c r="J21" s="6" t="s">
        <v>336</v>
      </c>
    </row>
    <row r="22" ht="15.75" customHeight="1">
      <c r="A22" s="7" t="s">
        <v>338</v>
      </c>
      <c r="B22" s="7" t="s">
        <v>341</v>
      </c>
      <c r="C22" s="7" t="s">
        <v>345</v>
      </c>
      <c r="D22" s="7" t="s">
        <v>349</v>
      </c>
      <c r="E22" s="7" t="s">
        <v>351</v>
      </c>
      <c r="F22" s="7" t="s">
        <v>166</v>
      </c>
      <c r="G22" s="7" t="s">
        <v>312</v>
      </c>
      <c r="H22" s="7" t="s">
        <v>85</v>
      </c>
      <c r="I22" s="7" t="s">
        <v>150</v>
      </c>
      <c r="J22" s="7" t="s">
        <v>360</v>
      </c>
    </row>
    <row r="23" ht="15.75" customHeight="1">
      <c r="A23" s="6" t="s">
        <v>362</v>
      </c>
      <c r="B23" s="6" t="s">
        <v>364</v>
      </c>
      <c r="C23" s="6" t="s">
        <v>366</v>
      </c>
      <c r="D23" s="6" t="s">
        <v>367</v>
      </c>
      <c r="E23" s="6" t="s">
        <v>369</v>
      </c>
      <c r="F23" s="6" t="s">
        <v>224</v>
      </c>
      <c r="G23" s="6" t="s">
        <v>338</v>
      </c>
      <c r="H23" s="6" t="s">
        <v>85</v>
      </c>
      <c r="I23" s="6" t="s">
        <v>225</v>
      </c>
      <c r="J23" s="6" t="s">
        <v>374</v>
      </c>
    </row>
    <row r="24" ht="15.75" customHeight="1">
      <c r="A24" s="7" t="s">
        <v>375</v>
      </c>
      <c r="B24" s="7" t="s">
        <v>364</v>
      </c>
      <c r="C24" s="7" t="s">
        <v>378</v>
      </c>
      <c r="D24" s="7" t="s">
        <v>380</v>
      </c>
      <c r="E24" s="7" t="s">
        <v>382</v>
      </c>
      <c r="F24" s="7" t="s">
        <v>166</v>
      </c>
      <c r="G24" s="7" t="s">
        <v>383</v>
      </c>
      <c r="H24" s="7" t="s">
        <v>85</v>
      </c>
      <c r="I24" s="7" t="s">
        <v>194</v>
      </c>
      <c r="J24" s="7" t="s">
        <v>386</v>
      </c>
    </row>
    <row r="25" ht="15.75" customHeight="1">
      <c r="A25" s="6" t="s">
        <v>389</v>
      </c>
      <c r="B25" s="6" t="s">
        <v>390</v>
      </c>
      <c r="C25" s="6" t="s">
        <v>391</v>
      </c>
      <c r="D25" s="6" t="s">
        <v>393</v>
      </c>
      <c r="E25" s="6" t="s">
        <v>395</v>
      </c>
      <c r="F25" s="6" t="s">
        <v>146</v>
      </c>
      <c r="G25" s="6" t="s">
        <v>375</v>
      </c>
      <c r="H25" s="6" t="s">
        <v>85</v>
      </c>
      <c r="I25" s="6" t="s">
        <v>397</v>
      </c>
      <c r="J25" s="6" t="s">
        <v>399</v>
      </c>
    </row>
    <row r="26" ht="15.75" customHeight="1">
      <c r="A26" s="7" t="s">
        <v>401</v>
      </c>
      <c r="B26" s="7" t="s">
        <v>402</v>
      </c>
      <c r="C26" s="7" t="s">
        <v>404</v>
      </c>
      <c r="D26" s="7" t="s">
        <v>405</v>
      </c>
      <c r="E26" s="7" t="s">
        <v>406</v>
      </c>
      <c r="F26" s="7" t="s">
        <v>224</v>
      </c>
      <c r="G26" s="7" t="s">
        <v>408</v>
      </c>
      <c r="H26" s="7" t="s">
        <v>85</v>
      </c>
      <c r="I26" s="7" t="s">
        <v>410</v>
      </c>
      <c r="J26" s="7" t="s">
        <v>412</v>
      </c>
    </row>
    <row r="27" ht="15.75" customHeight="1">
      <c r="A27" s="6" t="s">
        <v>414</v>
      </c>
      <c r="B27" s="6" t="s">
        <v>415</v>
      </c>
      <c r="C27" s="6" t="s">
        <v>417</v>
      </c>
      <c r="D27" s="6" t="s">
        <v>420</v>
      </c>
      <c r="E27" s="6" t="s">
        <v>422</v>
      </c>
      <c r="F27" s="6" t="s">
        <v>146</v>
      </c>
      <c r="G27" s="6" t="s">
        <v>425</v>
      </c>
      <c r="H27" s="6" t="s">
        <v>85</v>
      </c>
      <c r="I27" s="6" t="s">
        <v>428</v>
      </c>
      <c r="J27" s="6" t="s">
        <v>431</v>
      </c>
    </row>
    <row r="28" ht="15.75" customHeight="1">
      <c r="A28" s="7" t="s">
        <v>433</v>
      </c>
      <c r="B28" s="7" t="s">
        <v>436</v>
      </c>
      <c r="C28" s="7" t="s">
        <v>438</v>
      </c>
      <c r="D28" s="7" t="s">
        <v>439</v>
      </c>
      <c r="E28" s="7" t="s">
        <v>442</v>
      </c>
      <c r="F28" s="7" t="s">
        <v>311</v>
      </c>
      <c r="G28" s="7" t="s">
        <v>53</v>
      </c>
      <c r="H28" s="7" t="s">
        <v>85</v>
      </c>
      <c r="I28" s="7" t="s">
        <v>445</v>
      </c>
      <c r="J28" s="7" t="s">
        <v>447</v>
      </c>
    </row>
    <row r="29" ht="15.75" customHeight="1">
      <c r="A29" s="6" t="s">
        <v>449</v>
      </c>
      <c r="B29" s="6" t="s">
        <v>451</v>
      </c>
      <c r="C29" s="6" t="s">
        <v>452</v>
      </c>
      <c r="D29" s="6" t="s">
        <v>453</v>
      </c>
      <c r="E29" s="6" t="s">
        <v>455</v>
      </c>
      <c r="F29" s="6" t="s">
        <v>166</v>
      </c>
      <c r="G29" s="6" t="s">
        <v>457</v>
      </c>
      <c r="H29" s="6" t="s">
        <v>85</v>
      </c>
      <c r="I29" s="6" t="s">
        <v>209</v>
      </c>
      <c r="J29" s="6" t="s">
        <v>460</v>
      </c>
    </row>
    <row r="30" ht="15.75" customHeight="1">
      <c r="A30" s="7" t="s">
        <v>461</v>
      </c>
      <c r="B30" s="7" t="s">
        <v>451</v>
      </c>
      <c r="C30" s="7" t="s">
        <v>464</v>
      </c>
      <c r="D30" s="7" t="s">
        <v>466</v>
      </c>
      <c r="E30" s="7" t="s">
        <v>468</v>
      </c>
      <c r="F30" s="7" t="s">
        <v>146</v>
      </c>
      <c r="G30" s="7" t="s">
        <v>449</v>
      </c>
      <c r="H30" s="7" t="s">
        <v>85</v>
      </c>
      <c r="I30" s="7" t="s">
        <v>470</v>
      </c>
      <c r="J30" s="7" t="s">
        <v>472</v>
      </c>
    </row>
    <row r="31" ht="15.75" customHeight="1">
      <c r="A31" s="6" t="s">
        <v>475</v>
      </c>
      <c r="B31" s="6" t="s">
        <v>476</v>
      </c>
      <c r="C31" s="6" t="s">
        <v>477</v>
      </c>
      <c r="D31" s="6" t="s">
        <v>479</v>
      </c>
      <c r="E31" s="6" t="s">
        <v>480</v>
      </c>
      <c r="F31" s="6" t="s">
        <v>481</v>
      </c>
      <c r="G31" s="6" t="s">
        <v>482</v>
      </c>
      <c r="H31" s="6" t="s">
        <v>85</v>
      </c>
      <c r="I31" s="6" t="s">
        <v>483</v>
      </c>
      <c r="J31" s="6" t="s">
        <v>484</v>
      </c>
    </row>
    <row r="32" ht="15.75" customHeight="1">
      <c r="A32" s="7" t="s">
        <v>485</v>
      </c>
      <c r="B32" s="7" t="s">
        <v>486</v>
      </c>
      <c r="C32" s="7" t="s">
        <v>72</v>
      </c>
      <c r="D32" s="7" t="s">
        <v>487</v>
      </c>
      <c r="E32" s="7" t="s">
        <v>488</v>
      </c>
      <c r="F32" s="7" t="s">
        <v>146</v>
      </c>
      <c r="G32" s="7" t="s">
        <v>489</v>
      </c>
      <c r="H32" s="7" t="s">
        <v>85</v>
      </c>
      <c r="I32" s="7" t="s">
        <v>119</v>
      </c>
      <c r="J32" s="7" t="s">
        <v>490</v>
      </c>
    </row>
    <row r="33" ht="15.75" customHeight="1">
      <c r="A33" s="6" t="s">
        <v>120</v>
      </c>
      <c r="B33" s="6" t="s">
        <v>491</v>
      </c>
      <c r="C33" s="6" t="s">
        <v>492</v>
      </c>
      <c r="D33" s="6" t="s">
        <v>493</v>
      </c>
      <c r="E33" s="6" t="s">
        <v>494</v>
      </c>
      <c r="F33" s="6" t="s">
        <v>224</v>
      </c>
      <c r="G33" s="6" t="s">
        <v>495</v>
      </c>
      <c r="H33" s="6" t="s">
        <v>85</v>
      </c>
      <c r="I33" s="6" t="s">
        <v>209</v>
      </c>
      <c r="J33" s="6" t="s">
        <v>497</v>
      </c>
    </row>
    <row r="34" ht="15.75" customHeight="1">
      <c r="A34" s="7" t="s">
        <v>499</v>
      </c>
      <c r="B34" s="7" t="s">
        <v>501</v>
      </c>
      <c r="C34" s="7" t="s">
        <v>502</v>
      </c>
      <c r="D34" s="7" t="s">
        <v>504</v>
      </c>
      <c r="E34" s="7" t="s">
        <v>506</v>
      </c>
      <c r="F34" s="7" t="s">
        <v>29</v>
      </c>
      <c r="G34" s="7" t="s">
        <v>155</v>
      </c>
      <c r="H34" s="7" t="s">
        <v>85</v>
      </c>
      <c r="I34" s="7" t="s">
        <v>119</v>
      </c>
      <c r="J34" s="7" t="s">
        <v>507</v>
      </c>
    </row>
    <row r="35" ht="15.75" customHeight="1">
      <c r="A35" s="6" t="s">
        <v>508</v>
      </c>
      <c r="B35" s="6" t="s">
        <v>501</v>
      </c>
      <c r="C35" s="6" t="s">
        <v>509</v>
      </c>
      <c r="D35" s="6" t="s">
        <v>510</v>
      </c>
      <c r="E35" s="6" t="s">
        <v>511</v>
      </c>
      <c r="F35" s="6" t="s">
        <v>224</v>
      </c>
      <c r="G35" s="6" t="s">
        <v>512</v>
      </c>
      <c r="H35" s="6" t="s">
        <v>85</v>
      </c>
      <c r="I35" s="6" t="s">
        <v>209</v>
      </c>
      <c r="J35" s="6" t="s">
        <v>514</v>
      </c>
    </row>
    <row r="36" ht="15.75" customHeight="1">
      <c r="A36" s="7" t="s">
        <v>516</v>
      </c>
      <c r="B36" s="7" t="s">
        <v>517</v>
      </c>
      <c r="C36" s="7" t="s">
        <v>518</v>
      </c>
      <c r="D36" s="7" t="s">
        <v>519</v>
      </c>
      <c r="E36" s="7" t="s">
        <v>430</v>
      </c>
      <c r="F36" s="7" t="s">
        <v>426</v>
      </c>
      <c r="G36" s="7" t="s">
        <v>512</v>
      </c>
      <c r="H36" s="7" t="s">
        <v>85</v>
      </c>
      <c r="I36" s="7" t="s">
        <v>521</v>
      </c>
      <c r="J36" s="7" t="s">
        <v>522</v>
      </c>
    </row>
    <row r="37" ht="15.75" customHeight="1">
      <c r="A37" s="6" t="s">
        <v>523</v>
      </c>
      <c r="B37" s="6" t="s">
        <v>525</v>
      </c>
      <c r="C37" s="6" t="s">
        <v>143</v>
      </c>
      <c r="D37" s="6" t="s">
        <v>528</v>
      </c>
      <c r="E37" s="6" t="s">
        <v>529</v>
      </c>
      <c r="F37" s="6" t="s">
        <v>146</v>
      </c>
      <c r="G37" s="6" t="s">
        <v>531</v>
      </c>
      <c r="H37" s="6" t="s">
        <v>85</v>
      </c>
      <c r="I37" s="6" t="s">
        <v>470</v>
      </c>
      <c r="J37" s="6" t="s">
        <v>533</v>
      </c>
    </row>
    <row r="38" ht="15.75" customHeight="1">
      <c r="A38" s="7" t="s">
        <v>534</v>
      </c>
      <c r="B38" s="7" t="s">
        <v>525</v>
      </c>
      <c r="C38" s="7" t="s">
        <v>535</v>
      </c>
      <c r="D38" s="7" t="s">
        <v>536</v>
      </c>
      <c r="E38" s="7" t="s">
        <v>537</v>
      </c>
      <c r="F38" s="7" t="s">
        <v>29</v>
      </c>
      <c r="G38" s="7" t="s">
        <v>523</v>
      </c>
      <c r="H38" s="7" t="s">
        <v>85</v>
      </c>
      <c r="I38" s="7" t="s">
        <v>539</v>
      </c>
      <c r="J38" s="7" t="s">
        <v>540</v>
      </c>
    </row>
    <row r="39" ht="15.75" customHeight="1">
      <c r="A39" s="6" t="s">
        <v>139</v>
      </c>
      <c r="B39" s="6" t="s">
        <v>542</v>
      </c>
      <c r="C39" s="6" t="s">
        <v>544</v>
      </c>
      <c r="D39" s="6" t="s">
        <v>546</v>
      </c>
      <c r="E39" s="6" t="s">
        <v>547</v>
      </c>
      <c r="F39" s="6" t="s">
        <v>548</v>
      </c>
      <c r="G39" s="6" t="s">
        <v>550</v>
      </c>
      <c r="H39" s="6" t="s">
        <v>85</v>
      </c>
      <c r="I39" s="6" t="s">
        <v>553</v>
      </c>
      <c r="J39" s="6" t="s">
        <v>554</v>
      </c>
    </row>
    <row r="40" ht="15.75" customHeight="1">
      <c r="A40" s="7" t="s">
        <v>555</v>
      </c>
      <c r="B40" s="7" t="s">
        <v>542</v>
      </c>
      <c r="C40" s="7" t="s">
        <v>557</v>
      </c>
      <c r="D40" s="7" t="s">
        <v>560</v>
      </c>
      <c r="E40" s="7" t="s">
        <v>561</v>
      </c>
      <c r="F40" s="7" t="s">
        <v>29</v>
      </c>
      <c r="G40" s="7" t="s">
        <v>139</v>
      </c>
      <c r="H40" s="7" t="s">
        <v>85</v>
      </c>
      <c r="I40" s="7" t="s">
        <v>564</v>
      </c>
      <c r="J40" s="7" t="s">
        <v>565</v>
      </c>
    </row>
    <row r="41" ht="15.75" customHeight="1">
      <c r="A41" s="6" t="s">
        <v>566</v>
      </c>
      <c r="B41" s="6" t="s">
        <v>568</v>
      </c>
      <c r="C41" s="6" t="s">
        <v>570</v>
      </c>
      <c r="D41" s="6" t="s">
        <v>571</v>
      </c>
      <c r="E41" s="6" t="s">
        <v>573</v>
      </c>
      <c r="F41" s="6" t="s">
        <v>146</v>
      </c>
      <c r="G41" s="6" t="s">
        <v>555</v>
      </c>
      <c r="H41" s="6" t="s">
        <v>85</v>
      </c>
      <c r="I41" s="6" t="s">
        <v>578</v>
      </c>
      <c r="J41" s="6" t="s">
        <v>580</v>
      </c>
    </row>
    <row r="42" ht="15.75" customHeight="1">
      <c r="A42" s="7" t="s">
        <v>582</v>
      </c>
      <c r="B42" s="7" t="s">
        <v>584</v>
      </c>
      <c r="C42" s="7" t="s">
        <v>585</v>
      </c>
      <c r="D42" s="7" t="s">
        <v>588</v>
      </c>
      <c r="E42" s="7" t="s">
        <v>590</v>
      </c>
      <c r="F42" s="7" t="s">
        <v>146</v>
      </c>
      <c r="G42" s="7" t="s">
        <v>592</v>
      </c>
      <c r="H42" s="7" t="s">
        <v>85</v>
      </c>
      <c r="I42" s="7" t="s">
        <v>595</v>
      </c>
      <c r="J42" s="7" t="s">
        <v>597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3AA34DC-0D91-414C-A432-87B6BF9D47B7}" filter="1" showAutoFilter="1">
      <autoFilter ref="$A$4:$J$42"/>
    </customSheetView>
  </customSheetViews>
  <mergeCells count="2">
    <mergeCell ref="A1:J1"/>
    <mergeCell ref="A2:J2"/>
  </mergeCells>
  <conditionalFormatting sqref="H5:H42">
    <cfRule type="expression" dxfId="5" priority="1">
      <formula>H5="Done"</formula>
    </cfRule>
  </conditionalFormatting>
  <conditionalFormatting sqref="H5:H42">
    <cfRule type="expression" dxfId="6" priority="2">
      <formula>H5="Blocked"</formula>
    </cfRule>
  </conditionalFormatting>
  <conditionalFormatting sqref="H5:H42">
    <cfRule type="expression" dxfId="7" priority="3">
      <formula>H5="Review required"</formula>
    </cfRule>
  </conditionalFormatting>
  <dataValidations>
    <dataValidation type="list" allowBlank="1" sqref="H5:H42">
      <formula1>"Not started,In progress,Blocked,Review required,Done"</formula1>
    </dataValidation>
  </dataValidation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88.0"/>
    <col customWidth="1" min="4" max="4" width="48.0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33.75" customHeight="1">
      <c r="A2" s="4" t="s">
        <v>4</v>
      </c>
    </row>
    <row r="4">
      <c r="A4" s="5" t="s">
        <v>8</v>
      </c>
      <c r="B4" s="5" t="s">
        <v>14</v>
      </c>
      <c r="C4" s="5" t="s">
        <v>18</v>
      </c>
      <c r="D4" s="5" t="s">
        <v>21</v>
      </c>
    </row>
    <row r="5">
      <c r="A5" s="6" t="s">
        <v>26</v>
      </c>
      <c r="B5" s="6" t="s">
        <v>30</v>
      </c>
      <c r="C5" s="6" t="s">
        <v>33</v>
      </c>
      <c r="D5" s="6" t="s">
        <v>36</v>
      </c>
    </row>
    <row r="6">
      <c r="A6" s="7" t="s">
        <v>40</v>
      </c>
      <c r="B6" s="7" t="s">
        <v>44</v>
      </c>
      <c r="C6" s="7" t="s">
        <v>48</v>
      </c>
      <c r="D6" s="7" t="s">
        <v>51</v>
      </c>
    </row>
    <row r="7">
      <c r="A7" s="6" t="s">
        <v>56</v>
      </c>
      <c r="B7" s="6" t="s">
        <v>60</v>
      </c>
      <c r="C7" s="6" t="s">
        <v>65</v>
      </c>
      <c r="D7" s="6" t="s">
        <v>69</v>
      </c>
    </row>
    <row r="8">
      <c r="A8" s="7" t="s">
        <v>74</v>
      </c>
      <c r="B8" s="7" t="s">
        <v>77</v>
      </c>
      <c r="C8" s="7" t="s">
        <v>80</v>
      </c>
      <c r="D8" s="7" t="s">
        <v>83</v>
      </c>
    </row>
    <row r="9">
      <c r="A9" s="6" t="s">
        <v>87</v>
      </c>
      <c r="B9" s="6" t="s">
        <v>91</v>
      </c>
      <c r="C9" s="6" t="s">
        <v>95</v>
      </c>
      <c r="D9" s="6" t="s">
        <v>98</v>
      </c>
    </row>
    <row r="10">
      <c r="A10" s="7" t="s">
        <v>101</v>
      </c>
      <c r="B10" s="7" t="s">
        <v>104</v>
      </c>
      <c r="C10" s="7" t="s">
        <v>108</v>
      </c>
      <c r="D10" s="7" t="s">
        <v>112</v>
      </c>
    </row>
    <row r="11">
      <c r="A11" s="6" t="s">
        <v>113</v>
      </c>
      <c r="B11" s="6" t="s">
        <v>115</v>
      </c>
      <c r="C11" s="6" t="s">
        <v>117</v>
      </c>
      <c r="D11" s="6" t="s">
        <v>120</v>
      </c>
    </row>
    <row r="12">
      <c r="A12" s="7" t="s">
        <v>124</v>
      </c>
      <c r="B12" s="7" t="s">
        <v>127</v>
      </c>
      <c r="C12" s="7" t="s">
        <v>131</v>
      </c>
      <c r="D12" s="7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63D46A-CBAD-4814-A45F-3CC312FB5B6C}" filter="1" showAutoFilter="1">
      <autoFilter ref="$A$4:$D$12"/>
    </customSheetView>
  </customSheetViews>
  <mergeCells count="2">
    <mergeCell ref="A1:D1"/>
    <mergeCell ref="A2:D2"/>
  </mergeCell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72.0"/>
    <col customWidth="1" min="4" max="4" width="55.0"/>
    <col customWidth="1" min="5" max="5" width="24.0"/>
    <col customWidth="1" min="6" max="26" width="8.71"/>
  </cols>
  <sheetData>
    <row r="1" ht="31.5" customHeight="1">
      <c r="A1" s="1" t="s">
        <v>1</v>
      </c>
      <c r="B1" s="2"/>
      <c r="C1" s="2"/>
      <c r="D1" s="2"/>
      <c r="E1" s="3"/>
    </row>
    <row r="2" ht="33.75" customHeight="1">
      <c r="A2" s="4" t="s">
        <v>5</v>
      </c>
    </row>
    <row r="4">
      <c r="A4" s="5" t="s">
        <v>10</v>
      </c>
      <c r="B4" s="5" t="s">
        <v>13</v>
      </c>
      <c r="C4" s="5" t="s">
        <v>17</v>
      </c>
      <c r="D4" s="5" t="s">
        <v>20</v>
      </c>
      <c r="E4" s="5" t="s">
        <v>24</v>
      </c>
    </row>
    <row r="5">
      <c r="A5" s="6" t="s">
        <v>28</v>
      </c>
      <c r="B5" s="6" t="s">
        <v>32</v>
      </c>
      <c r="C5" s="6" t="s">
        <v>35</v>
      </c>
      <c r="D5" s="6" t="s">
        <v>39</v>
      </c>
      <c r="E5" s="6" t="s">
        <v>43</v>
      </c>
    </row>
    <row r="6">
      <c r="A6" s="7" t="s">
        <v>47</v>
      </c>
      <c r="B6" s="7" t="s">
        <v>50</v>
      </c>
      <c r="C6" s="7" t="s">
        <v>54</v>
      </c>
      <c r="D6" s="7" t="s">
        <v>57</v>
      </c>
      <c r="E6" s="7" t="s">
        <v>62</v>
      </c>
    </row>
    <row r="7">
      <c r="A7" s="6" t="s">
        <v>66</v>
      </c>
      <c r="B7" s="6" t="s">
        <v>70</v>
      </c>
      <c r="C7" s="6" t="s">
        <v>73</v>
      </c>
      <c r="D7" s="6" t="s">
        <v>76</v>
      </c>
      <c r="E7" s="6" t="s">
        <v>72</v>
      </c>
    </row>
    <row r="8">
      <c r="A8" s="7" t="s">
        <v>82</v>
      </c>
      <c r="B8" s="7" t="s">
        <v>86</v>
      </c>
      <c r="C8" s="7" t="s">
        <v>90</v>
      </c>
      <c r="D8" s="7" t="s">
        <v>94</v>
      </c>
      <c r="E8" s="7" t="s">
        <v>105</v>
      </c>
    </row>
    <row r="9">
      <c r="A9" s="6" t="s">
        <v>109</v>
      </c>
      <c r="B9" s="6" t="s">
        <v>114</v>
      </c>
      <c r="C9" s="6" t="s">
        <v>116</v>
      </c>
      <c r="D9" s="6" t="s">
        <v>118</v>
      </c>
      <c r="E9" s="6" t="s">
        <v>121</v>
      </c>
    </row>
    <row r="10">
      <c r="A10" s="7" t="s">
        <v>125</v>
      </c>
      <c r="B10" s="7" t="s">
        <v>129</v>
      </c>
      <c r="C10" s="7" t="s">
        <v>132</v>
      </c>
      <c r="D10" s="7" t="s">
        <v>134</v>
      </c>
      <c r="E10" s="7" t="s">
        <v>137</v>
      </c>
    </row>
    <row r="11">
      <c r="A11" s="6" t="s">
        <v>142</v>
      </c>
      <c r="B11" s="6" t="s">
        <v>143</v>
      </c>
      <c r="C11" s="6" t="s">
        <v>145</v>
      </c>
      <c r="D11" s="6" t="s">
        <v>147</v>
      </c>
      <c r="E11" s="6" t="s">
        <v>148</v>
      </c>
    </row>
    <row r="12">
      <c r="A12" s="7" t="s">
        <v>149</v>
      </c>
      <c r="B12" s="7" t="s">
        <v>151</v>
      </c>
      <c r="C12" s="7" t="s">
        <v>153</v>
      </c>
      <c r="D12" s="7" t="s">
        <v>154</v>
      </c>
      <c r="E12" s="7" t="s">
        <v>156</v>
      </c>
    </row>
    <row r="13">
      <c r="A13" s="6" t="s">
        <v>158</v>
      </c>
      <c r="B13" s="6" t="s">
        <v>160</v>
      </c>
      <c r="C13" s="6" t="s">
        <v>162</v>
      </c>
      <c r="D13" s="6" t="s">
        <v>165</v>
      </c>
      <c r="E13" s="6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4FBC04B-4820-443D-B04A-1995B10D1FAD}" filter="1" showAutoFilter="1">
      <autoFilter ref="$A$4:$E$13"/>
    </customSheetView>
  </customSheetViews>
  <mergeCells count="2">
    <mergeCell ref="A1:E1"/>
    <mergeCell ref="A2:E2"/>
  </mergeCell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54.0"/>
    <col customWidth="1" min="4" max="4" width="44.0"/>
    <col customWidth="1" min="5" max="5" width="20.0"/>
    <col customWidth="1" min="6" max="6" width="26.0"/>
    <col customWidth="1" min="7" max="26" width="8.71"/>
  </cols>
  <sheetData>
    <row r="1" ht="31.5" customHeight="1">
      <c r="A1" s="1" t="s">
        <v>233</v>
      </c>
      <c r="B1" s="2"/>
      <c r="C1" s="2"/>
      <c r="D1" s="2"/>
      <c r="E1" s="2"/>
      <c r="F1" s="3"/>
    </row>
    <row r="2" ht="33.75" customHeight="1">
      <c r="A2" s="4" t="s">
        <v>236</v>
      </c>
    </row>
    <row r="4">
      <c r="A4" s="5" t="s">
        <v>10</v>
      </c>
      <c r="B4" s="5" t="s">
        <v>240</v>
      </c>
      <c r="C4" s="5" t="s">
        <v>243</v>
      </c>
      <c r="D4" s="5" t="s">
        <v>244</v>
      </c>
      <c r="E4" s="5" t="s">
        <v>38</v>
      </c>
      <c r="F4" s="5" t="s">
        <v>247</v>
      </c>
    </row>
    <row r="5">
      <c r="A5" s="6" t="s">
        <v>249</v>
      </c>
      <c r="B5" s="6" t="s">
        <v>252</v>
      </c>
      <c r="C5" s="6" t="s">
        <v>255</v>
      </c>
      <c r="D5" s="6" t="s">
        <v>257</v>
      </c>
      <c r="E5" s="6" t="s">
        <v>260</v>
      </c>
      <c r="F5" s="6" t="s">
        <v>29</v>
      </c>
    </row>
    <row r="6">
      <c r="A6" s="7" t="s">
        <v>263</v>
      </c>
      <c r="B6" s="7" t="s">
        <v>264</v>
      </c>
      <c r="C6" s="7" t="s">
        <v>265</v>
      </c>
      <c r="D6" s="7" t="s">
        <v>267</v>
      </c>
      <c r="E6" s="7" t="s">
        <v>260</v>
      </c>
      <c r="F6" s="7" t="s">
        <v>270</v>
      </c>
    </row>
    <row r="7">
      <c r="A7" s="6" t="s">
        <v>272</v>
      </c>
      <c r="B7" s="6" t="s">
        <v>273</v>
      </c>
      <c r="C7" s="6" t="s">
        <v>276</v>
      </c>
      <c r="D7" s="6" t="s">
        <v>278</v>
      </c>
      <c r="E7" s="6" t="s">
        <v>260</v>
      </c>
      <c r="F7" s="6" t="s">
        <v>29</v>
      </c>
    </row>
    <row r="8">
      <c r="A8" s="7" t="s">
        <v>283</v>
      </c>
      <c r="B8" s="7" t="s">
        <v>284</v>
      </c>
      <c r="C8" s="7" t="s">
        <v>285</v>
      </c>
      <c r="D8" s="7" t="s">
        <v>286</v>
      </c>
      <c r="E8" s="7" t="s">
        <v>288</v>
      </c>
      <c r="F8" s="7" t="s">
        <v>290</v>
      </c>
    </row>
    <row r="9">
      <c r="A9" s="6" t="s">
        <v>294</v>
      </c>
      <c r="B9" s="6" t="s">
        <v>296</v>
      </c>
      <c r="C9" s="6" t="s">
        <v>298</v>
      </c>
      <c r="D9" s="6" t="s">
        <v>299</v>
      </c>
      <c r="E9" s="6" t="s">
        <v>288</v>
      </c>
      <c r="F9" s="6" t="s">
        <v>270</v>
      </c>
    </row>
    <row r="10">
      <c r="A10" s="7" t="s">
        <v>304</v>
      </c>
      <c r="B10" s="7" t="s">
        <v>305</v>
      </c>
      <c r="C10" s="7" t="s">
        <v>306</v>
      </c>
      <c r="D10" s="7" t="s">
        <v>308</v>
      </c>
      <c r="E10" s="7" t="s">
        <v>288</v>
      </c>
      <c r="F10" s="7" t="s">
        <v>311</v>
      </c>
    </row>
    <row r="11">
      <c r="A11" s="6" t="s">
        <v>315</v>
      </c>
      <c r="B11" s="6" t="s">
        <v>317</v>
      </c>
      <c r="C11" s="6" t="s">
        <v>321</v>
      </c>
      <c r="D11" s="6" t="s">
        <v>323</v>
      </c>
      <c r="E11" s="6" t="s">
        <v>325</v>
      </c>
      <c r="F11" s="6" t="s">
        <v>29</v>
      </c>
    </row>
    <row r="12">
      <c r="A12" s="7" t="s">
        <v>329</v>
      </c>
      <c r="B12" s="7" t="s">
        <v>331</v>
      </c>
      <c r="C12" s="7" t="s">
        <v>333</v>
      </c>
      <c r="D12" s="7" t="s">
        <v>337</v>
      </c>
      <c r="E12" s="7" t="s">
        <v>325</v>
      </c>
      <c r="F12" s="7" t="s">
        <v>340</v>
      </c>
    </row>
    <row r="13">
      <c r="A13" s="6" t="s">
        <v>344</v>
      </c>
      <c r="B13" s="6" t="s">
        <v>348</v>
      </c>
      <c r="C13" s="6" t="s">
        <v>350</v>
      </c>
      <c r="D13" s="6" t="s">
        <v>352</v>
      </c>
      <c r="E13" s="6" t="s">
        <v>325</v>
      </c>
      <c r="F13" s="6" t="s">
        <v>29</v>
      </c>
    </row>
    <row r="14">
      <c r="A14" s="7" t="s">
        <v>355</v>
      </c>
      <c r="B14" s="7" t="s">
        <v>357</v>
      </c>
      <c r="C14" s="7" t="s">
        <v>359</v>
      </c>
      <c r="D14" s="7" t="s">
        <v>361</v>
      </c>
      <c r="E14" s="7" t="s">
        <v>325</v>
      </c>
      <c r="F14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C696DF-8988-4CBC-A37B-53B4E961D092}" filter="1" showAutoFilter="1">
      <autoFilter ref="$A$4:$F$14"/>
    </customSheetView>
  </customSheetViews>
  <mergeCells count="2">
    <mergeCell ref="A1:F1"/>
    <mergeCell ref="A2:F2"/>
  </mergeCells>
  <dataValidations>
    <dataValidation type="list" allowBlank="1" sqref="E5:E14">
      <formula1>"Proposed,Approved,Rejected,Pending,Not selected,Review required"</formula1>
    </dataValidation>
  </dataValidation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70.0"/>
    <col customWidth="1" min="4" max="4" width="18.0"/>
    <col customWidth="1" min="5" max="5" width="22.0"/>
    <col customWidth="1" min="6" max="6" width="42.0"/>
    <col customWidth="1" min="7" max="26" width="8.71"/>
  </cols>
  <sheetData>
    <row r="1" ht="31.5" customHeight="1">
      <c r="A1" s="1" t="s">
        <v>242</v>
      </c>
      <c r="B1" s="2"/>
      <c r="C1" s="2"/>
      <c r="D1" s="2"/>
      <c r="E1" s="2"/>
      <c r="F1" s="3"/>
    </row>
    <row r="2" ht="33.75" customHeight="1">
      <c r="A2" s="4" t="s">
        <v>246</v>
      </c>
    </row>
    <row r="4">
      <c r="A4" s="5" t="s">
        <v>10</v>
      </c>
      <c r="B4" s="5" t="s">
        <v>250</v>
      </c>
      <c r="C4" s="5" t="s">
        <v>253</v>
      </c>
      <c r="D4" s="5" t="s">
        <v>29</v>
      </c>
      <c r="E4" s="5" t="s">
        <v>38</v>
      </c>
      <c r="F4" s="5" t="s">
        <v>46</v>
      </c>
    </row>
    <row r="5">
      <c r="A5" s="6" t="s">
        <v>261</v>
      </c>
      <c r="B5" s="6" t="s">
        <v>262</v>
      </c>
      <c r="C5" s="6" t="s">
        <v>268</v>
      </c>
      <c r="D5" s="6" t="s">
        <v>29</v>
      </c>
      <c r="E5" s="6" t="s">
        <v>85</v>
      </c>
      <c r="F5" s="6" t="s">
        <v>275</v>
      </c>
    </row>
    <row r="6">
      <c r="A6" s="7" t="s">
        <v>279</v>
      </c>
      <c r="B6" s="7" t="s">
        <v>281</v>
      </c>
      <c r="C6" s="7" t="s">
        <v>282</v>
      </c>
      <c r="D6" s="7" t="s">
        <v>146</v>
      </c>
      <c r="E6" s="7" t="s">
        <v>85</v>
      </c>
      <c r="F6" s="7" t="s">
        <v>297</v>
      </c>
    </row>
    <row r="7">
      <c r="A7" s="6" t="s">
        <v>300</v>
      </c>
      <c r="B7" s="6" t="s">
        <v>301</v>
      </c>
      <c r="C7" s="6" t="s">
        <v>302</v>
      </c>
      <c r="D7" s="6" t="s">
        <v>224</v>
      </c>
      <c r="E7" s="6" t="s">
        <v>85</v>
      </c>
      <c r="F7" s="6" t="s">
        <v>307</v>
      </c>
    </row>
    <row r="8">
      <c r="A8" s="7" t="s">
        <v>313</v>
      </c>
      <c r="B8" s="7" t="s">
        <v>316</v>
      </c>
      <c r="C8" s="7" t="s">
        <v>320</v>
      </c>
      <c r="D8" s="7" t="s">
        <v>166</v>
      </c>
      <c r="E8" s="7" t="s">
        <v>85</v>
      </c>
      <c r="F8" s="7" t="s">
        <v>327</v>
      </c>
    </row>
    <row r="9">
      <c r="A9" s="6" t="s">
        <v>330</v>
      </c>
      <c r="B9" s="6" t="s">
        <v>332</v>
      </c>
      <c r="C9" s="6" t="s">
        <v>334</v>
      </c>
      <c r="D9" s="6" t="s">
        <v>146</v>
      </c>
      <c r="E9" s="6" t="s">
        <v>85</v>
      </c>
      <c r="F9" s="6" t="s">
        <v>342</v>
      </c>
    </row>
    <row r="10">
      <c r="A10" s="7" t="s">
        <v>346</v>
      </c>
      <c r="B10" s="7" t="s">
        <v>419</v>
      </c>
      <c r="C10" s="7" t="s">
        <v>424</v>
      </c>
      <c r="D10" s="7" t="s">
        <v>426</v>
      </c>
      <c r="E10" s="7" t="s">
        <v>85</v>
      </c>
      <c r="F10" s="7" t="s">
        <v>430</v>
      </c>
    </row>
    <row r="11">
      <c r="A11" s="6" t="s">
        <v>434</v>
      </c>
      <c r="B11" s="6" t="s">
        <v>437</v>
      </c>
      <c r="C11" s="6" t="s">
        <v>441</v>
      </c>
      <c r="D11" s="6" t="s">
        <v>443</v>
      </c>
      <c r="E11" s="6" t="s">
        <v>85</v>
      </c>
      <c r="F11" s="6" t="s">
        <v>444</v>
      </c>
    </row>
    <row r="12">
      <c r="A12" s="7" t="s">
        <v>446</v>
      </c>
      <c r="B12" s="7" t="s">
        <v>448</v>
      </c>
      <c r="C12" s="7" t="s">
        <v>450</v>
      </c>
      <c r="D12" s="7" t="s">
        <v>216</v>
      </c>
      <c r="E12" s="7" t="s">
        <v>85</v>
      </c>
      <c r="F12" s="7" t="s">
        <v>454</v>
      </c>
    </row>
    <row r="13">
      <c r="A13" s="6" t="s">
        <v>456</v>
      </c>
      <c r="B13" s="6" t="s">
        <v>458</v>
      </c>
      <c r="C13" s="6" t="s">
        <v>459</v>
      </c>
      <c r="D13" s="6" t="s">
        <v>29</v>
      </c>
      <c r="E13" s="6" t="s">
        <v>85</v>
      </c>
      <c r="F13" s="6" t="s">
        <v>462</v>
      </c>
    </row>
    <row r="14">
      <c r="A14" s="7" t="s">
        <v>463</v>
      </c>
      <c r="B14" s="7" t="s">
        <v>465</v>
      </c>
      <c r="C14" s="7" t="s">
        <v>467</v>
      </c>
      <c r="D14" s="7" t="s">
        <v>29</v>
      </c>
      <c r="E14" s="7" t="s">
        <v>85</v>
      </c>
      <c r="F14" s="7" t="s">
        <v>469</v>
      </c>
    </row>
    <row r="15">
      <c r="A15" s="6" t="s">
        <v>471</v>
      </c>
      <c r="B15" s="6" t="s">
        <v>473</v>
      </c>
      <c r="C15" s="6" t="s">
        <v>474</v>
      </c>
      <c r="D15" s="6" t="s">
        <v>146</v>
      </c>
      <c r="E15" s="6" t="s">
        <v>85</v>
      </c>
      <c r="F15" s="6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6858EF6-BA7F-4292-ABBD-127C732261A7}" filter="1" showAutoFilter="1">
      <autoFilter ref="$A$4:$F$15"/>
    </customSheetView>
  </customSheetViews>
  <mergeCells count="2">
    <mergeCell ref="A1:F1"/>
    <mergeCell ref="A2:F2"/>
  </mergeCells>
  <dataValidations>
    <dataValidation type="list" allowBlank="1" sqref="E5:E15">
      <formula1>"Not started,In progress,Blocked,Review required,Done"</formula1>
    </dataValidation>
  </dataValidation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68.0"/>
    <col customWidth="1" min="4" max="4" width="20.0"/>
    <col customWidth="1" min="5" max="5" width="40.0"/>
    <col customWidth="1" min="6" max="26" width="8.71"/>
  </cols>
  <sheetData>
    <row r="1" ht="31.5" customHeight="1">
      <c r="A1" s="1" t="s">
        <v>310</v>
      </c>
      <c r="B1" s="2"/>
      <c r="C1" s="2"/>
      <c r="D1" s="2"/>
      <c r="E1" s="3"/>
    </row>
    <row r="2" ht="33.75" customHeight="1">
      <c r="A2" s="4" t="s">
        <v>319</v>
      </c>
    </row>
    <row r="4">
      <c r="A4" s="5" t="s">
        <v>10</v>
      </c>
      <c r="B4" s="5" t="s">
        <v>326</v>
      </c>
      <c r="C4" s="5" t="s">
        <v>253</v>
      </c>
      <c r="D4" s="5" t="s">
        <v>38</v>
      </c>
      <c r="E4" s="5" t="s">
        <v>335</v>
      </c>
    </row>
    <row r="5">
      <c r="A5" s="6" t="s">
        <v>339</v>
      </c>
      <c r="B5" s="6" t="s">
        <v>343</v>
      </c>
      <c r="C5" s="6" t="s">
        <v>347</v>
      </c>
      <c r="D5" s="6" t="s">
        <v>85</v>
      </c>
      <c r="E5" s="6" t="s">
        <v>353</v>
      </c>
    </row>
    <row r="6">
      <c r="A6" s="7" t="s">
        <v>354</v>
      </c>
      <c r="B6" s="7" t="s">
        <v>356</v>
      </c>
      <c r="C6" s="7" t="s">
        <v>358</v>
      </c>
      <c r="D6" s="7" t="s">
        <v>85</v>
      </c>
      <c r="E6" s="7" t="s">
        <v>363</v>
      </c>
    </row>
    <row r="7">
      <c r="A7" s="6" t="s">
        <v>365</v>
      </c>
      <c r="B7" s="6" t="s">
        <v>296</v>
      </c>
      <c r="C7" s="6" t="s">
        <v>368</v>
      </c>
      <c r="D7" s="6" t="s">
        <v>85</v>
      </c>
      <c r="E7" s="6" t="s">
        <v>370</v>
      </c>
    </row>
    <row r="8">
      <c r="A8" s="7" t="s">
        <v>371</v>
      </c>
      <c r="B8" s="7" t="s">
        <v>372</v>
      </c>
      <c r="C8" s="7" t="s">
        <v>373</v>
      </c>
      <c r="D8" s="7" t="s">
        <v>85</v>
      </c>
      <c r="E8" s="7" t="s">
        <v>376</v>
      </c>
    </row>
    <row r="9">
      <c r="A9" s="6" t="s">
        <v>377</v>
      </c>
      <c r="B9" s="6" t="s">
        <v>379</v>
      </c>
      <c r="C9" s="6" t="s">
        <v>381</v>
      </c>
      <c r="D9" s="6" t="s">
        <v>85</v>
      </c>
      <c r="E9" s="6" t="s">
        <v>384</v>
      </c>
    </row>
    <row r="10">
      <c r="A10" s="7" t="s">
        <v>385</v>
      </c>
      <c r="B10" s="7" t="s">
        <v>387</v>
      </c>
      <c r="C10" s="7" t="s">
        <v>388</v>
      </c>
      <c r="D10" s="7" t="s">
        <v>85</v>
      </c>
      <c r="E10" s="7" t="s">
        <v>392</v>
      </c>
    </row>
    <row r="11">
      <c r="A11" s="6" t="s">
        <v>394</v>
      </c>
      <c r="B11" s="6" t="s">
        <v>357</v>
      </c>
      <c r="C11" s="6" t="s">
        <v>396</v>
      </c>
      <c r="D11" s="6" t="s">
        <v>85</v>
      </c>
      <c r="E11" s="6" t="s">
        <v>398</v>
      </c>
    </row>
    <row r="12">
      <c r="A12" s="7" t="s">
        <v>400</v>
      </c>
      <c r="B12" s="7" t="s">
        <v>305</v>
      </c>
      <c r="C12" s="7" t="s">
        <v>403</v>
      </c>
      <c r="D12" s="7" t="s">
        <v>85</v>
      </c>
      <c r="E12" s="7" t="s">
        <v>407</v>
      </c>
    </row>
    <row r="13">
      <c r="A13" s="6" t="s">
        <v>409</v>
      </c>
      <c r="B13" s="6" t="s">
        <v>411</v>
      </c>
      <c r="C13" s="6" t="s">
        <v>413</v>
      </c>
      <c r="D13" s="6" t="s">
        <v>85</v>
      </c>
      <c r="E13" s="6" t="s">
        <v>416</v>
      </c>
    </row>
    <row r="14">
      <c r="A14" s="7" t="s">
        <v>418</v>
      </c>
      <c r="B14" s="7" t="s">
        <v>421</v>
      </c>
      <c r="C14" s="7" t="s">
        <v>423</v>
      </c>
      <c r="D14" s="7" t="s">
        <v>85</v>
      </c>
      <c r="E14" s="7" t="s">
        <v>427</v>
      </c>
    </row>
    <row r="15">
      <c r="A15" s="6" t="s">
        <v>429</v>
      </c>
      <c r="B15" s="6" t="s">
        <v>432</v>
      </c>
      <c r="C15" s="6" t="s">
        <v>435</v>
      </c>
      <c r="D15" s="6" t="s">
        <v>85</v>
      </c>
      <c r="E15" s="6" t="s">
        <v>440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9F7DC3-57D8-4B77-9A6B-75B73012A585}" filter="1" showAutoFilter="1">
      <autoFilter ref="$A$4:$E$15"/>
    </customSheetView>
  </customSheetViews>
  <mergeCells count="2">
    <mergeCell ref="A1:E1"/>
    <mergeCell ref="A2:E2"/>
  </mergeCells>
  <dataValidations>
    <dataValidation type="list" allowBlank="1" sqref="D5:D15">
      <formula1>"Not started,In progress,Blocked,Review required,Done"</formula1>
    </dataValidation>
  </dataValidation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74.0"/>
    <col customWidth="1" min="3" max="3" width="64.0"/>
    <col customWidth="1" min="4" max="26" width="8.71"/>
  </cols>
  <sheetData>
    <row r="1" ht="31.5" customHeight="1">
      <c r="A1" s="1" t="s">
        <v>496</v>
      </c>
      <c r="B1" s="2"/>
      <c r="C1" s="3"/>
    </row>
    <row r="2" ht="33.75" customHeight="1">
      <c r="A2" s="4" t="s">
        <v>498</v>
      </c>
    </row>
    <row r="4">
      <c r="A4" s="5" t="s">
        <v>500</v>
      </c>
      <c r="B4" s="5" t="s">
        <v>503</v>
      </c>
      <c r="C4" s="5" t="s">
        <v>505</v>
      </c>
    </row>
    <row r="5">
      <c r="A5" s="6" t="s">
        <v>196</v>
      </c>
      <c r="B5" s="12" t="s">
        <v>197</v>
      </c>
      <c r="C5" s="6" t="s">
        <v>513</v>
      </c>
    </row>
    <row r="6">
      <c r="A6" s="7" t="s">
        <v>515</v>
      </c>
      <c r="B6" s="12" t="s">
        <v>173</v>
      </c>
      <c r="C6" s="7" t="s">
        <v>520</v>
      </c>
    </row>
    <row r="7">
      <c r="A7" s="6" t="s">
        <v>72</v>
      </c>
      <c r="B7" s="12" t="s">
        <v>178</v>
      </c>
      <c r="C7" s="6" t="s">
        <v>524</v>
      </c>
    </row>
    <row r="8">
      <c r="A8" s="7" t="s">
        <v>526</v>
      </c>
      <c r="B8" s="12" t="s">
        <v>527</v>
      </c>
      <c r="C8" s="7" t="s">
        <v>530</v>
      </c>
    </row>
    <row r="9">
      <c r="A9" s="6" t="s">
        <v>532</v>
      </c>
      <c r="B9" s="12" t="s">
        <v>185</v>
      </c>
      <c r="C9" s="6" t="s">
        <v>538</v>
      </c>
    </row>
    <row r="10">
      <c r="A10" s="7" t="s">
        <v>191</v>
      </c>
      <c r="B10" s="12" t="s">
        <v>192</v>
      </c>
      <c r="C10" s="7" t="s">
        <v>541</v>
      </c>
    </row>
    <row r="11">
      <c r="A11" s="6" t="s">
        <v>543</v>
      </c>
      <c r="B11" s="12" t="s">
        <v>545</v>
      </c>
      <c r="C11" s="6" t="s">
        <v>549</v>
      </c>
    </row>
    <row r="12">
      <c r="A12" s="7" t="s">
        <v>551</v>
      </c>
      <c r="B12" s="12" t="s">
        <v>552</v>
      </c>
      <c r="C12" s="7" t="s">
        <v>556</v>
      </c>
    </row>
    <row r="13">
      <c r="A13" s="6" t="s">
        <v>558</v>
      </c>
      <c r="B13" s="12" t="s">
        <v>559</v>
      </c>
      <c r="C13" s="6" t="s">
        <v>562</v>
      </c>
    </row>
    <row r="14">
      <c r="A14" s="7" t="s">
        <v>563</v>
      </c>
      <c r="B14" s="12" t="s">
        <v>569</v>
      </c>
      <c r="C14" s="7" t="s">
        <v>575</v>
      </c>
    </row>
    <row r="15">
      <c r="A15" s="6" t="s">
        <v>577</v>
      </c>
      <c r="B15" s="12" t="s">
        <v>579</v>
      </c>
      <c r="C15" s="6" t="s">
        <v>586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ED560E-1588-4F94-9B68-3B25E25B2C8F}" filter="1" showAutoFilter="1">
      <autoFilter ref="$A$4:$C$15"/>
    </customSheetView>
  </customSheetViews>
  <mergeCells count="2">
    <mergeCell ref="A1:C1"/>
    <mergeCell ref="A2:C2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</hyperlinks>
  <printOptions/>
  <pageMargins bottom="0.5" footer="0.0" header="0.0" left="0.25" right="0.25" top="0.5"/>
  <pageSetup fitToHeight="0" orientation="landscape"/>
  <drawing r:id="rId12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D6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78.0"/>
    <col customWidth="1" min="3" max="3" width="42.0"/>
    <col customWidth="1" min="4" max="26" width="8.71"/>
  </cols>
  <sheetData>
    <row r="1" ht="31.5" customHeight="1">
      <c r="A1" s="1" t="s">
        <v>567</v>
      </c>
      <c r="B1" s="2"/>
      <c r="C1" s="3"/>
    </row>
    <row r="2" ht="33.75" customHeight="1">
      <c r="A2" s="4" t="s">
        <v>572</v>
      </c>
    </row>
    <row r="4">
      <c r="A4" s="5" t="s">
        <v>574</v>
      </c>
      <c r="B4" s="5" t="s">
        <v>576</v>
      </c>
      <c r="C4" s="5" t="s">
        <v>581</v>
      </c>
    </row>
    <row r="5">
      <c r="A5" s="6" t="s">
        <v>583</v>
      </c>
      <c r="B5" s="6" t="s">
        <v>587</v>
      </c>
      <c r="C5" s="6" t="s">
        <v>589</v>
      </c>
    </row>
    <row r="6">
      <c r="A6" s="7" t="s">
        <v>591</v>
      </c>
      <c r="B6" s="7" t="s">
        <v>593</v>
      </c>
      <c r="C6" s="7" t="s">
        <v>594</v>
      </c>
    </row>
    <row r="7">
      <c r="A7" s="6" t="s">
        <v>596</v>
      </c>
      <c r="B7" s="6" t="s">
        <v>598</v>
      </c>
      <c r="C7" s="6" t="s">
        <v>599</v>
      </c>
    </row>
    <row r="8">
      <c r="A8" s="7" t="s">
        <v>600</v>
      </c>
      <c r="B8" s="7" t="s">
        <v>601</v>
      </c>
      <c r="C8" s="7" t="s">
        <v>602</v>
      </c>
    </row>
    <row r="9">
      <c r="A9" s="6" t="s">
        <v>603</v>
      </c>
      <c r="B9" s="6" t="s">
        <v>604</v>
      </c>
      <c r="C9" s="6" t="s">
        <v>605</v>
      </c>
    </row>
    <row r="10">
      <c r="A10" s="7" t="s">
        <v>606</v>
      </c>
      <c r="B10" s="7" t="s">
        <v>607</v>
      </c>
      <c r="C10" s="7" t="s">
        <v>608</v>
      </c>
    </row>
    <row r="11">
      <c r="A11" s="6" t="s">
        <v>609</v>
      </c>
      <c r="B11" s="6" t="s">
        <v>610</v>
      </c>
      <c r="C11" s="6" t="s">
        <v>611</v>
      </c>
    </row>
    <row r="12">
      <c r="A12" s="7" t="s">
        <v>612</v>
      </c>
      <c r="B12" s="7" t="s">
        <v>613</v>
      </c>
      <c r="C12" s="7" t="s">
        <v>614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46A2017-A525-4212-81F4-65D5ACE96421}" filter="1" showAutoFilter="1">
      <autoFilter ref="$A$4:$C$12"/>
    </customSheetView>
  </customSheetViews>
  <mergeCells count="2">
    <mergeCell ref="A1:C1"/>
    <mergeCell ref="A2:C2"/>
  </mergeCells>
  <printOptions/>
  <pageMargins bottom="0.5" footer="0.0" header="0.0" left="0.25" right="0.25" top="0.5"/>
  <pageSetup fitToHeight="0" orientation="landscape"/>
  <drawing r:id="rId1"/>
  <tableParts count="1">
    <tablePart r:id="rId3"/>
  </tableParts>
</worksheet>
</file>