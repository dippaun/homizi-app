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PIPELINE_SUMMARY" sheetId="2" state="visible" r:id="rId2"/>
    <sheet name="REMAINING_PIPELINE" sheetId="3" state="visible" r:id="rId3"/>
    <sheet name="EXECUTION_PIPELINE" sheetId="4" state="visible" r:id="rId4"/>
    <sheet name="CURSOR_PROMPTS" sheetId="5" state="visible" r:id="rId5"/>
    <sheet name="PHONE_LIVE_UPDATES" sheetId="6" state="visible" r:id="rId6"/>
    <sheet name="DECISIONS" sheetId="7" state="visible" r:id="rId7"/>
    <sheet name="PLAYSTORE_CHECKLIST" sheetId="8" state="visible" r:id="rId8"/>
    <sheet name="SECURITY_GATES" sheetId="9" state="visible" r:id="rId9"/>
    <sheet name="OFFICIAL_REFERENCES" sheetId="10" state="visible" r:id="rId10"/>
    <sheet name="HOW_TO_USE" sheetId="11" state="visible" r:id="rId11"/>
  </sheets>
  <definedNames>
    <definedName name="Z_8FBB2464_A3CF_41BA_87CC_7B0C15AB0C80_.wvu.FilterData" localSheetId="1" hidden="1">PIPELINE_SUMMARY!$A$4:$C$15</definedName>
    <definedName name="_xlnm._FilterDatabase" localSheetId="1" hidden="1">'PIPELINE_SUMMARY'!$A$4:$C$15</definedName>
    <definedName name="Z_E154C814_1F96_4B6A_83A8_6049B6B6EE12_.wvu.FilterData" localSheetId="2" hidden="1">REMAINING_PIPELINE!$A$4:$J$74</definedName>
    <definedName name="_xlnm._FilterDatabase" localSheetId="2" hidden="1">'REMAINING_PIPELINE'!$A$4:$J$74</definedName>
    <definedName name="Z_EEA74B65_B171_4134_95A8_B1B23F22676B_.wvu.FilterData" localSheetId="3" hidden="1">EXECUTION_PIPELINE!$A$4:$J$42</definedName>
    <definedName name="_xlnm._FilterDatabase" localSheetId="3" hidden="1">'EXECUTION_PIPELINE'!$A$4:$J$42</definedName>
    <definedName name="Z_3B062297_B4A7_4F5E_8EE3_4EBCCB7FC47A_.wvu.FilterData" localSheetId="4" hidden="1">CURSOR_PROMPTS!$A$4:$D$12</definedName>
    <definedName name="_xlnm._FilterDatabase" localSheetId="4" hidden="1">'CURSOR_PROMPTS'!$A$4:$D$12</definedName>
    <definedName name="Z_2ED26194_6BCA_4EE4_834D_DD9C1A49D0A3_.wvu.FilterData" localSheetId="5" hidden="1">PHONE_LIVE_UPDATES!$A$4:$E$13</definedName>
    <definedName name="_xlnm._FilterDatabase" localSheetId="5" hidden="1">'PHONE_LIVE_UPDATES'!$A$4:$E$13</definedName>
    <definedName name="Z_92998502_F02F_4A2A_A1A4_442D98E70C3A_.wvu.FilterData" localSheetId="6" hidden="1">DECISIONS!$A$4:$F$14</definedName>
    <definedName name="_xlnm._FilterDatabase" localSheetId="6" hidden="1">'DECISIONS'!$A$4:$F$14</definedName>
    <definedName name="Z_7464AFB6_2F37_489D_A430_56DD65EBFD2E_.wvu.FilterData" localSheetId="7" hidden="1">PLAYSTORE_CHECKLIST!$A$4:$F$15</definedName>
    <definedName name="_xlnm._FilterDatabase" localSheetId="7" hidden="1">'PLAYSTORE_CHECKLIST'!$A$4:$F$15</definedName>
    <definedName name="Z_5F835554_C715_4C76_A162_95918A69B639_.wvu.FilterData" localSheetId="8" hidden="1">SECURITY_GATES!$A$4:$E$15</definedName>
    <definedName name="_xlnm._FilterDatabase" localSheetId="8" hidden="1">'SECURITY_GATES'!$A$4:$E$15</definedName>
    <definedName name="Z_5D5FD421_4BB9_4B74_A4E9_D4549DEBF646_.wvu.FilterData" localSheetId="9" hidden="1">OFFICIAL_REFERENCES!$A$4:$C$15</definedName>
    <definedName name="_xlnm._FilterDatabase" localSheetId="9" hidden="1">'OFFICIAL_REFERENCES'!$A$4:$C$15</definedName>
    <definedName name="Z_D2E53D05_9869_4D3C_994A_97F5C547E7A9_.wvu.FilterData" localSheetId="10" hidden="1">HOW_TO_USE!$A$4:$C$12</definedName>
    <definedName name="_xlnm._FilterDatabase" localSheetId="10" hidden="1">'HOW_TO_USE'!$A$4:$C$12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color theme="1"/>
      <sz val="11"/>
      <scheme val="minor"/>
    </font>
    <font>
      <name val="Calibri"/>
      <b val="1"/>
      <color rgb="FFFFFFFF"/>
      <sz val="16"/>
      <scheme val="minor"/>
    </font>
    <font/>
    <font>
      <name val="Calibri"/>
      <i val="1"/>
      <color rgb="FF5B6573"/>
      <scheme val="minor"/>
    </font>
    <font>
      <name val="Calibri"/>
      <b val="1"/>
      <color rgb="FFFFFFFF"/>
      <scheme val="minor"/>
    </font>
    <font>
      <name val="Calibri"/>
      <color theme="1"/>
      <sz val="11"/>
    </font>
    <font>
      <name val="Calibri"/>
      <b val="1"/>
      <color rgb="FF18243A"/>
      <sz val="12"/>
      <scheme val="minor"/>
    </font>
    <font>
      <name val="Calibri"/>
      <b val="1"/>
      <color theme="1"/>
      <scheme val="minor"/>
    </font>
    <font>
      <name val="Calibri"/>
      <color theme="10"/>
      <sz val="12"/>
      <u val="single"/>
    </font>
    <font>
      <name val="Calibri"/>
      <color theme="10"/>
      <sz val="12"/>
      <u val="single"/>
    </font>
  </fonts>
  <fills count="9">
    <fill>
      <patternFill/>
    </fill>
    <fill>
      <patternFill patternType="lightGray"/>
    </fill>
    <fill>
      <patternFill patternType="solid">
        <fgColor rgb="FF18243A"/>
        <bgColor rgb="FF18243A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theme="0"/>
        <bgColor theme="0"/>
      </patternFill>
    </fill>
    <fill>
      <patternFill patternType="solid">
        <fgColor rgb="FFF7EEDB"/>
        <bgColor rgb="FFF7EEDB"/>
      </patternFill>
    </fill>
    <fill>
      <patternFill patternType="solid">
        <fgColor rgb="FFF2F4F7"/>
        <bgColor rgb="FFF2F4F7"/>
      </patternFill>
    </fill>
    <fill>
      <patternFill patternType="solid">
        <fgColor rgb="FFF8FAFC"/>
        <bgColor rgb="FFF8FAF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bottom style="thin">
        <color rgb="FFD9E0E8"/>
      </bottom>
    </border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0" borderId="0" applyAlignment="1" pivotButton="0" quotePrefix="0" xfId="0">
      <alignment vertical="center" wrapText="1"/>
    </xf>
    <xf numFmtId="0" fontId="4" fillId="3" borderId="4" applyAlignment="1" pivotButton="0" quotePrefix="0" xfId="0">
      <alignment vertical="center" wrapText="1"/>
    </xf>
    <xf numFmtId="0" fontId="5" fillId="4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0" fontId="4" fillId="2" borderId="4" applyAlignment="1" pivotButton="0" quotePrefix="0" xfId="0">
      <alignment horizontal="left" vertical="top" wrapText="1"/>
    </xf>
    <xf numFmtId="0" fontId="4" fillId="2" borderId="4" applyAlignment="1" pivotButton="0" quotePrefix="0" xfId="0">
      <alignment horizontal="left" vertical="center" wrapText="1"/>
    </xf>
    <xf numFmtId="0" fontId="5" fillId="0" borderId="5" applyAlignment="1" pivotButton="0" quotePrefix="0" xfId="0">
      <alignment vertical="top" wrapText="1"/>
    </xf>
    <xf numFmtId="0" fontId="2" fillId="5" borderId="5" pivotButton="0" quotePrefix="0" xfId="0"/>
    <xf numFmtId="0" fontId="6" fillId="0" borderId="0" applyAlignment="1" pivotButton="0" quotePrefix="0" xfId="0">
      <alignment vertical="top" wrapText="1"/>
    </xf>
    <xf numFmtId="0" fontId="7" fillId="7" borderId="4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8" borderId="5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4" applyAlignment="1" pivotButton="0" quotePrefix="0" xfId="0">
      <alignment vertical="center" wrapText="1"/>
    </xf>
    <xf numFmtId="0" fontId="0" fillId="0" borderId="5" pivotButton="0" quotePrefix="0" xfId="0"/>
    <xf numFmtId="0" fontId="5" fillId="6" borderId="4" applyAlignment="1" pivotButton="0" quotePrefix="0" xfId="0">
      <alignment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7EEDB"/>
          <bgColor rgb="FFF7EEDB"/>
        </patternFill>
      </fill>
      <border/>
    </dxf>
  </dxfs>
  <tableStyles count="10" defaultTableStyle="TableStyleMedium9" defaultPivotStyle="PivotStyleLight16">
    <tableStyle name="PIPELINE_SUMMA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XECUTION_PIPELIN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MAINING_PIPELIN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URSOR_PROMP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HONE_LIVE_UPDAT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DECIS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LAYSTORE_CHECKLIST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ECURITY_GAT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OFFICIAL_REFERENC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HOW_TO_US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PipelineSummaryTable" displayName="PipelineSummaryTable" ref="A4:C15" headerRowCount="1">
  <tableColumns count="3">
    <tableColumn id="1" name="Metric / milestone"/>
    <tableColumn id="2" name="Value"/>
    <tableColumn id="3" name="Meaning"/>
  </tableColumns>
  <tableStyleInfo name="PIPELINE_SUMMARY-style" showFirstColumn="1" showLastColumn="1" showRowStripes="1" showColumnStripes="0"/>
</table>
</file>

<file path=xl/tables/table2.xml><?xml version="1.0" encoding="utf-8"?>
<table xmlns="http://schemas.openxmlformats.org/spreadsheetml/2006/main" id="2" name="RemainingPipelineTable" displayName="RemainingPipelineTable" ref="A4:J74" headerRowCount="1">
  <tableColumns count="10">
    <tableColumn id="1" name="Task ID"/>
    <tableColumn id="2" name="Phase"/>
    <tableColumn id="3" name="Exact task"/>
    <tableColumn id="4" name="Actions to perform"/>
    <tableColumn id="5" name="Definition of done / evidence"/>
    <tableColumn id="6" name="Owner"/>
    <tableColumn id="7" name="Dependencies"/>
    <tableColumn id="8" name="Status"/>
    <tableColumn id="9" name="Approval gate"/>
    <tableColumn id="10" name="Notes"/>
  </tableColumns>
  <tableStyleInfo name="REMAINING_PIPELINE-style" showFirstColumn="1" showLastColumn="1" showRowStripes="1" showColumnStripes="0"/>
</table>
</file>

<file path=xl/tables/table3.xml><?xml version="1.0" encoding="utf-8"?>
<table xmlns="http://schemas.openxmlformats.org/spreadsheetml/2006/main" id="3" name="ExecutionPipeline" displayName="ExecutionPipeline" ref="A4:J42" headerRowCount="1">
  <tableColumns count="10">
    <tableColumn id="1" name="Step ID"/>
    <tableColumn id="2" name="Phase"/>
    <tableColumn id="3" name="Work package"/>
    <tableColumn id="4" name="Detailed actions"/>
    <tableColumn id="5" name="Definition of done / evidence"/>
    <tableColumn id="6" name="Owner"/>
    <tableColumn id="7" name="Dependencies"/>
    <tableColumn id="8" name="Status"/>
    <tableColumn id="9" name="Approval type"/>
    <tableColumn id="10" name="Notes"/>
  </tableColumns>
  <tableStyleInfo name="EXECUTION_PIPELINE-style" showFirstColumn="1" showLastColumn="1" showRowStripes="1" showColumnStripes="0"/>
</table>
</file>

<file path=xl/tables/table4.xml><?xml version="1.0" encoding="utf-8"?>
<table xmlns="http://schemas.openxmlformats.org/spreadsheetml/2006/main" id="4" name="CursorPrompts" displayName="CursorPrompts" ref="A4:D12" headerRowCount="1">
  <tableColumns count="4">
    <tableColumn id="1" name="Prompt ID"/>
    <tableColumn id="2" name="Purpose"/>
    <tableColumn id="3" name="Prompt to paste into Cursor"/>
    <tableColumn id="4" name="Use when"/>
  </tableColumns>
  <tableStyleInfo name="CURSOR_PROMPTS-style" showFirstColumn="1" showLastColumn="1" showRowStripes="1" showColumnStripes="0"/>
</table>
</file>

<file path=xl/tables/table5.xml><?xml version="1.0" encoding="utf-8"?>
<table xmlns="http://schemas.openxmlformats.org/spreadsheetml/2006/main" id="5" name="LiveUpdatePlan" displayName="LiveUpdatePlan" ref="A4:E13" headerRowCount="1">
  <tableColumns count="5">
    <tableColumn id="1" name="ID"/>
    <tableColumn id="2" name="Goal"/>
    <tableColumn id="3" name="Steps"/>
    <tableColumn id="4" name="Success condition"/>
    <tableColumn id="5" name="Channel"/>
  </tableColumns>
  <tableStyleInfo name="PHONE_LIVE_UPDATES-style" showFirstColumn="1" showLastColumn="1" showRowStripes="1" showColumnStripes="0"/>
</table>
</file>

<file path=xl/tables/table6.xml><?xml version="1.0" encoding="utf-8"?>
<table xmlns="http://schemas.openxmlformats.org/spreadsheetml/2006/main" id="6" name="DecisionLog" displayName="DecisionLog" ref="A4:F14" headerRowCount="1">
  <tableColumns count="6">
    <tableColumn id="1" name="ID"/>
    <tableColumn id="2" name="Decision"/>
    <tableColumn id="3" name="Recommended default"/>
    <tableColumn id="4" name="Alternative / note"/>
    <tableColumn id="5" name="Status"/>
    <tableColumn id="6" name="Approver"/>
  </tableColumns>
  <tableStyleInfo name="DECISIONS-style" showFirstColumn="1" showLastColumn="1" showRowStripes="1" showColumnStripes="0"/>
</table>
</file>

<file path=xl/tables/table7.xml><?xml version="1.0" encoding="utf-8"?>
<table xmlns="http://schemas.openxmlformats.org/spreadsheetml/2006/main" id="7" name="PlayReleaseChecklist" displayName="PlayReleaseChecklist" ref="A4:F15" headerRowCount="1">
  <tableColumns count="6">
    <tableColumn id="1" name="ID"/>
    <tableColumn id="2" name="Checklist"/>
    <tableColumn id="3" name="Acceptance criteria"/>
    <tableColumn id="4" name="Owner"/>
    <tableColumn id="5" name="Status"/>
    <tableColumn id="6" name="Notes"/>
  </tableColumns>
  <tableStyleInfo name="PLAYSTORE_CHECKLIST-style" showFirstColumn="1" showLastColumn="1" showRowStripes="1" showColumnStripes="0"/>
</table>
</file>

<file path=xl/tables/table8.xml><?xml version="1.0" encoding="utf-8"?>
<table xmlns="http://schemas.openxmlformats.org/spreadsheetml/2006/main" id="8" name="SecurityGates" displayName="SecurityGates" ref="A4:E15" headerRowCount="1">
  <tableColumns count="5">
    <tableColumn id="1" name="ID"/>
    <tableColumn id="2" name="Gate"/>
    <tableColumn id="3" name="Acceptance criteria"/>
    <tableColumn id="4" name="Status"/>
    <tableColumn id="5" name="Evidence"/>
  </tableColumns>
  <tableStyleInfo name="SECURITY_GATES-style" showFirstColumn="1" showLastColumn="1" showRowStripes="1" showColumnStripes="0"/>
</table>
</file>

<file path=xl/tables/table9.xml><?xml version="1.0" encoding="utf-8"?>
<table xmlns="http://schemas.openxmlformats.org/spreadsheetml/2006/main" id="9" name="OfficialReferences" displayName="OfficialReferences" ref="A4:C15" headerRowCount="1">
  <tableColumns count="3">
    <tableColumn id="1" name="Reference"/>
    <tableColumn id="2" name="Official URL"/>
    <tableColumn id="3" name="Why it matters"/>
  </tableColumns>
  <tableStyleInfo name="OFFICIAL_REFERENCES-style" showFirstColumn="1" showLastColumn="1" showRowStripes="1" showColumnStripes="0"/>
</table>
</file>

<file path=xl/tables/table10.xml><?xml version="1.0" encoding="utf-8"?>
<table xmlns="http://schemas.openxmlformats.org/spreadsheetml/2006/main" id="10" name="HowToUseTable" displayName="HowToUseTable" ref="A4:C12" headerRowCount="1">
  <tableColumns count="3">
    <tableColumn id="1" name="Rule"/>
    <tableColumn id="2" name="Action"/>
    <tableColumn id="3" name="Reminder"/>
  </tableColumns>
  <tableStyleInfo name="HOW_TO_US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docs.flutter.dev/deployment/android" TargetMode="External" Id="rId1" /><Relationship Type="http://schemas.openxmlformats.org/officeDocument/2006/relationships/hyperlink" Target="https://firebase.google.com/docs/app-distribution/android/distribute-console" TargetMode="External" Id="rId2" /><Relationship Type="http://schemas.openxmlformats.org/officeDocument/2006/relationships/hyperlink" Target="https://support.google.com/googleplay/android-developer/answer/14151465?hl=en" TargetMode="External" Id="rId3" /><Relationship Type="http://schemas.openxmlformats.org/officeDocument/2006/relationships/hyperlink" Target="https://support.google.com/googleplay/android-developer/answer/11926878?hl=en-EN" TargetMode="External" Id="rId4" /><Relationship Type="http://schemas.openxmlformats.org/officeDocument/2006/relationships/hyperlink" Target="https://docs.flutter.dev/get-started/install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docs.flutter.dev/get-started/install" TargetMode="External" Id="rId1" /><Relationship Type="http://schemas.openxmlformats.org/officeDocument/2006/relationships/hyperlink" Target="https://docs.flutter.dev/deployment/android" TargetMode="External" Id="rId2" /><Relationship Type="http://schemas.openxmlformats.org/officeDocument/2006/relationships/hyperlink" Target="https://firebase.google.com/docs/app-distribution/android/distribute-console" TargetMode="External" Id="rId3" /><Relationship Type="http://schemas.openxmlformats.org/officeDocument/2006/relationships/hyperlink" Target="https://firebase.google.com/docs/app-distribution/get-set-up-as-a-tester" TargetMode="External" Id="rId4" /><Relationship Type="http://schemas.openxmlformats.org/officeDocument/2006/relationships/hyperlink" Target="https://support.google.com/googleplay/android-developer/answer/14151465?hl=en" TargetMode="External" Id="rId5" /><Relationship Type="http://schemas.openxmlformats.org/officeDocument/2006/relationships/hyperlink" Target="https://support.google.com/googleplay/android-developer/answer/11926878?hl=en-EN" TargetMode="External" Id="rId6" /><Relationship Type="http://schemas.openxmlformats.org/officeDocument/2006/relationships/hyperlink" Target="https://play.google.com/console/" TargetMode="External" Id="rId7" /><Relationship Type="http://schemas.openxmlformats.org/officeDocument/2006/relationships/hyperlink" Target="https://developer.apple.com/programs/" TargetMode="External" Id="rId8" /><Relationship Type="http://schemas.openxmlformats.org/officeDocument/2006/relationships/hyperlink" Target="https://appstoreconnect.apple.com/" TargetMode="External" Id="rId9" /><Relationship Type="http://schemas.openxmlformats.org/officeDocument/2006/relationships/hyperlink" Target="https://supabase.com/docs" TargetMode="External" Id="rId10" /><Relationship Type="http://schemas.openxmlformats.org/officeDocument/2006/relationships/hyperlink" Target="https://docs.github.com/actions" TargetMode="External" Id="rId11" /><Relationship Type="http://schemas.openxmlformats.org/officeDocument/2006/relationships/table" Target="/xl/tables/table9.xml" Id="rId12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C2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19" min="1" max="1"/>
    <col width="24" customWidth="1" style="19" min="2" max="2"/>
    <col width="70" customWidth="1" style="19" min="3" max="3"/>
    <col width="8.710000000000001" customWidth="1" style="19" min="4" max="26"/>
  </cols>
  <sheetData>
    <row r="1" ht="31.5" customHeight="1" s="19">
      <c r="A1" s="20" t="inlineStr">
        <is>
          <t>Dashboard</t>
        </is>
      </c>
    </row>
    <row r="2" ht="33.75" customHeight="1" s="19">
      <c r="A2" s="4" t="inlineStr">
        <is>
          <t>HOMIZI: start from an empty project, install an early Android build, iterate with tester distribution, then release on Google Play. Keep iOS-compatible Flutter architecture.</t>
        </is>
      </c>
    </row>
    <row r="4">
      <c r="A4" s="5" t="inlineStr">
        <is>
          <t>Topic</t>
        </is>
      </c>
      <c r="B4" s="5" t="inlineStr">
        <is>
          <t>Recommendation</t>
        </is>
      </c>
      <c r="C4" s="5" t="inlineStr">
        <is>
          <t>Details</t>
        </is>
      </c>
    </row>
    <row r="5">
      <c r="A5" s="6" t="inlineStr">
        <is>
          <t>Recommended path</t>
        </is>
      </c>
      <c r="B5" s="6" t="inlineStr">
        <is>
          <t>Android first</t>
        </is>
      </c>
      <c r="C5" s="6" t="inlineStr">
        <is>
          <t>Get a real app onto your phone early; continue towards Play Store while preserving iOS support.</t>
        </is>
      </c>
    </row>
    <row r="6">
      <c r="A6" s="7" t="inlineStr">
        <is>
          <t>Mobile framework</t>
        </is>
      </c>
      <c r="B6" s="7" t="inlineStr">
        <is>
          <t>Flutter + Dart</t>
        </is>
      </c>
      <c r="C6" s="7" t="inlineStr">
        <is>
          <t>One shared codebase; native iOS release still requires macOS/Xcode or macOS CI.</t>
        </is>
      </c>
    </row>
    <row r="7">
      <c r="A7" s="6" t="inlineStr">
        <is>
          <t>Backend default</t>
        </is>
      </c>
      <c r="B7" s="6" t="inlineStr">
        <is>
          <t>Supabase + PostgreSQL</t>
        </is>
      </c>
      <c r="C7" s="6" t="inlineStr">
        <is>
          <t>Approved by the owner on 17 Oct 2026. The app uses Supabase. Mumbai staging project loraalfiuklespaldotd is live. A production project and production region remain deferred.</t>
        </is>
      </c>
    </row>
    <row r="8">
      <c r="A8" s="7" t="inlineStr">
        <is>
          <t>First install</t>
        </is>
      </c>
      <c r="B8" s="7" t="inlineStr">
        <is>
          <t>USB + flutter run</t>
        </is>
      </c>
      <c r="C8" s="7" t="inlineStr">
        <is>
          <t>Fastest for a first device smoke test; no store account required.</t>
        </is>
      </c>
    </row>
    <row r="9">
      <c r="A9" s="6" t="inlineStr">
        <is>
          <t>Repeatable installs</t>
        </is>
      </c>
      <c r="B9" s="6" t="inlineStr">
        <is>
          <t>Firebase App Distribution</t>
        </is>
      </c>
      <c r="C9" s="6" t="inlineStr">
        <is>
          <t>Invite yourself/testers and share each new test build. New Flutter code normally requires a new build/install.</t>
        </is>
      </c>
    </row>
    <row r="10">
      <c r="A10" s="7" t="inlineStr">
        <is>
          <t>Live backend changes</t>
        </is>
      </c>
      <c r="B10" s="7" t="inlineStr">
        <is>
          <t>Deploy backend separately</t>
        </is>
      </c>
      <c r="C10" s="7" t="inlineStr">
        <is>
          <t>Content/data and compatible server logic can update without reinstalling the app.</t>
        </is>
      </c>
    </row>
    <row r="11">
      <c r="A11" s="6" t="inlineStr">
        <is>
          <t>Play Store release</t>
        </is>
      </c>
      <c r="B11" s="6" t="inlineStr">
        <is>
          <t>Signed AAB + Play Console</t>
        </is>
      </c>
      <c r="C11" s="6" t="inlineStr">
        <is>
          <t>Store review and account-specific testing requirements still apply.</t>
        </is>
      </c>
    </row>
    <row r="12">
      <c r="A12" s="7" t="inlineStr">
        <is>
          <t>Important current policy</t>
        </is>
      </c>
      <c r="B12" s="7" t="inlineStr">
        <is>
          <t>Target API 36+</t>
        </is>
      </c>
      <c r="C12" s="7" t="inlineStr">
        <is>
          <t>Google's official policy page states new apps/updates must target Android 16/API 36+ from Aug 31, 2026; recheck at release.</t>
        </is>
      </c>
    </row>
    <row r="13">
      <c r="A13" s="6" t="inlineStr">
        <is>
          <t>Applicable new personal accounts</t>
        </is>
      </c>
      <c r="B13" s="6" t="inlineStr">
        <is>
          <t>12 testers / 14 days</t>
        </is>
      </c>
      <c r="C13" s="6" t="inlineStr">
        <is>
          <t>Google says personal developer accounts created after Nov 13, 2023 need a closed test with at least 12 opted-in testers continuously for 14 days before applying for production access.</t>
        </is>
      </c>
    </row>
    <row r="14">
      <c r="A14" s="7" t="inlineStr">
        <is>
          <t>Master task sheet</t>
        </is>
      </c>
      <c r="B14" s="7" t="inlineStr">
        <is>
          <t>Use REMAINING_PIPELINE (70 tasks) as the detailed task-by-task source of truth; use PIPELINE_SUMMARY for remaining counts.</t>
        </is>
      </c>
      <c r="C14" s="21" t="n"/>
    </row>
    <row r="17">
      <c r="A17" s="13" t="inlineStr">
        <is>
          <t>Pipeline completion</t>
        </is>
      </c>
    </row>
    <row r="18">
      <c r="A18" s="14" t="inlineStr">
        <is>
          <t>Total steps</t>
        </is>
      </c>
      <c r="B18" s="15">
        <f>COUNTA(EXECUTION_PIPELINE!A5:A42)</f>
        <v/>
      </c>
    </row>
    <row r="19">
      <c r="A19" s="14" t="inlineStr">
        <is>
          <t>Done</t>
        </is>
      </c>
      <c r="B19" s="15">
        <f>COUNTIF(EXECUTION_PIPELINE!H5:H42,"Done")</f>
        <v/>
      </c>
    </row>
    <row r="20">
      <c r="A20" s="14" t="inlineStr">
        <is>
          <t>Blocked</t>
        </is>
      </c>
      <c r="B20" s="15">
        <f>COUNTIF(EXECUTION_PIPELINE!H5:H42,"Blocked")</f>
        <v/>
      </c>
    </row>
    <row r="21" ht="15.75" customHeight="1" s="19">
      <c r="A21" s="14" t="inlineStr">
        <is>
          <t>Review required</t>
        </is>
      </c>
      <c r="B21" s="15">
        <f>COUNTIF(EXECUTION_PIPELINE!H5:H42,"Review required")</f>
        <v/>
      </c>
    </row>
    <row r="22" ht="15.75" customHeight="1" s="19">
      <c r="A22" t="inlineStr">
        <is>
          <t>In progress</t>
        </is>
      </c>
      <c r="B22">
        <f>COUNTIF(EXECUTION_PIPELINE!H5:H42,"In progress")</f>
        <v/>
      </c>
    </row>
    <row r="23" ht="15.75" customHeight="1" s="19">
      <c r="A23" t="inlineStr">
        <is>
          <t>Not started</t>
        </is>
      </c>
      <c r="B23">
        <f>COUNTIF(EXECUTION_PIPELINE!H5:H42,"Not started")</f>
        <v/>
      </c>
    </row>
    <row r="24" ht="15.75" customHeight="1" s="19">
      <c r="A24" s="13" t="inlineStr">
        <is>
          <t>Official references</t>
        </is>
      </c>
    </row>
    <row r="25" ht="15.75" customHeight="1" s="19">
      <c r="A25" s="15" t="inlineStr">
        <is>
          <t>Flutter Android deployment</t>
        </is>
      </c>
      <c r="B25" s="17" t="inlineStr">
        <is>
          <t>https://docs.flutter.dev/deployment/android</t>
        </is>
      </c>
    </row>
    <row r="26" ht="15.75" customHeight="1" s="19">
      <c r="A26" s="15" t="inlineStr">
        <is>
          <t>Firebase App Distribution</t>
        </is>
      </c>
      <c r="B26" s="17" t="inlineStr">
        <is>
          <t>https://firebase.google.com/docs/app-distribution/android/distribute-console</t>
        </is>
      </c>
    </row>
    <row r="27" ht="15.75" customHeight="1" s="19">
      <c r="A27" s="15" t="inlineStr">
        <is>
          <t>Play testing requirements</t>
        </is>
      </c>
      <c r="B27" s="17" t="inlineStr">
        <is>
          <t>https://support.google.com/googleplay/android-developer/answer/14151465?hl=en</t>
        </is>
      </c>
    </row>
    <row r="28" ht="15.75" customHeight="1" s="19">
      <c r="A28" s="15" t="inlineStr">
        <is>
          <t>Play target API level</t>
        </is>
      </c>
      <c r="B28" s="17" t="inlineStr">
        <is>
          <t>https://support.google.com/googleplay/android-developer/answer/11926878?hl=en-EN</t>
        </is>
      </c>
    </row>
    <row r="29" ht="15.75" customHeight="1" s="19">
      <c r="A29" s="15" t="inlineStr">
        <is>
          <t>Flutter install</t>
        </is>
      </c>
      <c r="B29" s="17" t="inlineStr">
        <is>
          <t>https://docs.flutter.dev/get-started/install</t>
        </is>
      </c>
    </row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3">
    <mergeCell ref="A1:C1"/>
    <mergeCell ref="B14:C14"/>
    <mergeCell ref="A2:C2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</hyperlinks>
  <pageMargins left="0.25" right="0.25" top="0.5" bottom="0.5" header="0" footer="0"/>
  <pageSetup orientation="landscape" fitToHeight="0"/>
</worksheet>
</file>

<file path=xl/worksheets/sheet2.xml><?xml version="1.0" encoding="utf-8"?>
<worksheet xmlns="http://schemas.openxmlformats.org/spreadsheetml/2006/main">
  <sheetPr>
    <tabColor rgb="FF18243A"/>
    <outlinePr summaryBelow="1" summaryRight="1"/>
    <pageSetUpPr fitToPage="1"/>
  </sheetPr>
  <dimension ref="A1:C15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4" customWidth="1" style="19" min="1" max="1"/>
    <col width="24" customWidth="1" style="19" min="2" max="2"/>
    <col width="76" customWidth="1" style="19" min="3" max="3"/>
    <col width="8.710000000000001" customWidth="1" style="19" min="4" max="26"/>
  </cols>
  <sheetData>
    <row r="1" ht="31.5" customHeight="1" s="19">
      <c r="A1" s="20" t="inlineStr">
        <is>
          <t>HOMIZI — REMAINING WORK SUMMARY</t>
        </is>
      </c>
    </row>
    <row r="2" ht="36" customHeight="1" s="19">
      <c r="A2" s="4" t="inlineStr">
        <is>
          <t>Audit dated 17 October 2026 against commit 9914e7d. Counts are formulas over REMAINING_PIPELINE status. Evidence is in docs/plan/STATUS_1017.md. Done requires a file, commit, test name, or command output.</t>
        </is>
      </c>
    </row>
    <row r="4">
      <c r="A4" s="9" t="inlineStr">
        <is>
          <t>Metric / milestone</t>
        </is>
      </c>
      <c r="B4" s="9" t="inlineStr">
        <is>
          <t>Value</t>
        </is>
      </c>
      <c r="C4" s="9" t="inlineStr">
        <is>
          <t>Meaning</t>
        </is>
      </c>
    </row>
    <row r="5">
      <c r="A5" s="11" t="inlineStr">
        <is>
          <t>Total tasks</t>
        </is>
      </c>
      <c r="B5" s="11">
        <f>COUNTA(REMAINING_PIPELINE!A5:A74)</f>
        <v/>
      </c>
      <c r="C5" s="11" t="inlineStr">
        <is>
          <t>All granular tasks from initial decisions through Android launch and iOS release.</t>
        </is>
      </c>
    </row>
    <row r="6">
      <c r="A6" s="16" t="inlineStr">
        <is>
          <t>Not started</t>
        </is>
      </c>
      <c r="B6" s="16">
        <f>COUNTIF(REMAINING_PIPELINE!H5:H74,"Not started")</f>
        <v/>
      </c>
      <c r="C6" s="16" t="inlineStr">
        <is>
          <t>No artifact for this task was found in the 17 Oct 2026 audit.</t>
        </is>
      </c>
    </row>
    <row r="7">
      <c r="A7" s="11" t="inlineStr">
        <is>
          <t>In progress</t>
        </is>
      </c>
      <c r="B7" s="11">
        <f>COUNTIF(REMAINING_PIPELINE!H5:H74,"In progress")</f>
        <v/>
      </c>
      <c r="C7" s="11" t="inlineStr">
        <is>
          <t>Tasks currently being executed.</t>
        </is>
      </c>
    </row>
    <row r="8">
      <c r="A8" s="16" t="inlineStr">
        <is>
          <t>Blocked</t>
        </is>
      </c>
      <c r="B8" s="16">
        <f>COUNTIF(REMAINING_PIPELINE!H5:H74,"Blocked")</f>
        <v/>
      </c>
      <c r="C8" s="16" t="inlineStr">
        <is>
          <t>Blocked by dependency, account access or unresolved decision.</t>
        </is>
      </c>
    </row>
    <row r="9">
      <c r="A9" s="11" t="inlineStr">
        <is>
          <t>Review required</t>
        </is>
      </c>
      <c r="B9" s="11">
        <f>COUNTIF(REMAINING_PIPELINE!H5:H74,"Review required")</f>
        <v/>
      </c>
      <c r="C9" s="11" t="inlineStr">
        <is>
          <t>Waiting for human/security/legal/owner review.</t>
        </is>
      </c>
    </row>
    <row r="10">
      <c r="A10" s="16" t="inlineStr">
        <is>
          <t>Done</t>
        </is>
      </c>
      <c r="B10" s="16">
        <f>COUNTIF(REMAINING_PIPELINE!H5:H74,"Done")</f>
        <v/>
      </c>
      <c r="C10" s="16" t="inlineStr">
        <is>
          <t>Requires evidence in docs, logs, screenshots or test/build results.</t>
        </is>
      </c>
    </row>
    <row r="11">
      <c r="A11" s="11" t="inlineStr">
        <is>
          <t>First phone milestone</t>
        </is>
      </c>
      <c r="B11" s="11" t="inlineStr">
        <is>
          <t>R-020 / R-021</t>
        </is>
      </c>
      <c r="C11" s="11" t="inlineStr">
        <is>
          <t>Starter app runs on physical Android phone; no backend or store account needed for initial local install.</t>
        </is>
      </c>
    </row>
    <row r="12">
      <c r="A12" s="16" t="inlineStr">
        <is>
          <t>First shared test build</t>
        </is>
      </c>
      <c r="B12" s="16" t="inlineStr">
        <is>
          <t>R-054 / R-055</t>
        </is>
      </c>
      <c r="C12" s="16" t="inlineStr">
        <is>
          <t>Firebase App Distribution is configured and the owner can install a shared test release.</t>
        </is>
      </c>
    </row>
    <row r="13">
      <c r="A13" s="11" t="inlineStr">
        <is>
          <t>First Play Store track</t>
        </is>
      </c>
      <c r="B13" s="11" t="inlineStr">
        <is>
          <t>R-062</t>
        </is>
      </c>
      <c r="C13" s="11" t="inlineStr">
        <is>
          <t>Internal testing track validates install/update through Google Play.</t>
        </is>
      </c>
    </row>
    <row r="14">
      <c r="A14" s="16" t="inlineStr">
        <is>
          <t>Public Android release</t>
        </is>
      </c>
      <c r="B14" s="16" t="inlineStr">
        <is>
          <t>R-065</t>
        </is>
      </c>
      <c r="C14" s="16" t="inlineStr">
        <is>
          <t>Only after all applicable gates, tests, declarations and Play review.</t>
        </is>
      </c>
    </row>
    <row r="15">
      <c r="A15" s="11" t="inlineStr">
        <is>
          <t>iOS release</t>
        </is>
      </c>
      <c r="B15" s="11" t="inlineStr">
        <is>
          <t>R-068 to R-070</t>
        </is>
      </c>
      <c r="C15" s="11" t="inlineStr">
        <is>
          <t>Requires macOS/Xcode build path, Apple account, TestFlight and separate App Store review.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C$15"/>
  <mergeCells count="2">
    <mergeCell ref="A1:C1"/>
    <mergeCell ref="A2:C2"/>
  </mergeCell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8243A"/>
    <outlinePr summaryBelow="1" summaryRight="1"/>
    <pageSetUpPr fitToPage="1"/>
  </sheetPr>
  <dimension ref="A1:J7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" customWidth="1" style="19" min="1" max="1"/>
    <col width="14" customWidth="1" style="19" min="2" max="2"/>
    <col width="25" customWidth="1" style="19" min="3" max="3"/>
    <col width="52" customWidth="1" style="19" min="4" max="4"/>
    <col width="48" customWidth="1" style="19" min="5" max="5"/>
    <col width="24" customWidth="1" style="19" min="6" max="6"/>
    <col width="18" customWidth="1" style="19" min="7" max="7"/>
    <col width="20" customWidth="1" style="19" min="8" max="8"/>
    <col width="26" customWidth="1" style="19" min="9" max="9"/>
    <col width="38" customWidth="1" style="19" min="10" max="10"/>
    <col width="8.710000000000001" customWidth="1" style="19" min="11" max="26"/>
  </cols>
  <sheetData>
    <row r="1" ht="31.5" customHeight="1" s="19">
      <c r="A1" s="20" t="inlineStr">
        <is>
          <t>HOMIZI — COMPLETE REMAINING PIPELINE</t>
        </is>
      </c>
    </row>
    <row r="2" ht="36" customHeight="1" s="19">
      <c r="A2" s="4" t="inlineStr">
        <is>
          <t>Master task register from zero-code project to Android Play Store release, with iOS maintained and released as a parallel track. Statuses are initialized as Not started because no task completion evidence has been provided.</t>
        </is>
      </c>
    </row>
    <row r="3" ht="30" customHeight="1" s="19">
      <c r="A3" s="22" t="inlineStr">
        <is>
          <t>Use this sheet as the source of truth for remaining work. Mark Done only after evidence is recorded. Dependencies refer to task IDs in this sheet.</t>
        </is>
      </c>
    </row>
    <row r="4">
      <c r="A4" s="10" t="inlineStr">
        <is>
          <t>Task ID</t>
        </is>
      </c>
      <c r="B4" s="10" t="inlineStr">
        <is>
          <t>Phase</t>
        </is>
      </c>
      <c r="C4" s="10" t="inlineStr">
        <is>
          <t>Exact task</t>
        </is>
      </c>
      <c r="D4" s="10" t="inlineStr">
        <is>
          <t>Actions to perform</t>
        </is>
      </c>
      <c r="E4" s="10" t="inlineStr">
        <is>
          <t>Definition of done / evidence</t>
        </is>
      </c>
      <c r="F4" s="10" t="inlineStr">
        <is>
          <t>Owner</t>
        </is>
      </c>
      <c r="G4" s="10" t="inlineStr">
        <is>
          <t>Dependencies</t>
        </is>
      </c>
      <c r="H4" s="10" t="inlineStr">
        <is>
          <t>Status</t>
        </is>
      </c>
      <c r="I4" s="10" t="inlineStr">
        <is>
          <t>Approval gate</t>
        </is>
      </c>
      <c r="J4" s="10" t="inlineStr">
        <is>
          <t>Notes</t>
        </is>
      </c>
    </row>
    <row r="5" ht="73.5" customHeight="1" s="19">
      <c r="A5" s="11" t="inlineStr">
        <is>
          <t>R-001</t>
        </is>
      </c>
      <c r="B5" s="11" t="inlineStr">
        <is>
          <t>P0 Scope</t>
        </is>
      </c>
      <c r="C5" s="11" t="inlineStr">
        <is>
          <t>Confirm MVP outcome</t>
        </is>
      </c>
      <c r="D5" s="11" t="inlineStr">
        <is>
          <t>Agree the smallest launchable HOMIZI flow: onboarding, account, profile, property/requirement creation, discovery, listing detail, report/block and support.</t>
        </is>
      </c>
      <c r="E5" s="11" t="inlineStr">
        <is>
          <t>Approved MVP statement and explicitly deferred features saved in docs/PRODUCT_SPEC.md.</t>
        </is>
      </c>
      <c r="F5" s="11" t="inlineStr">
        <is>
          <t>Owner</t>
        </is>
      </c>
      <c r="G5" s="11" t="inlineStr">
        <is>
          <t>Start</t>
        </is>
      </c>
      <c r="H5" s="11" t="inlineStr">
        <is>
          <t>Done</t>
        </is>
      </c>
      <c r="I5" s="11" t="inlineStr">
        <is>
          <t>Owner approval</t>
        </is>
      </c>
      <c r="J5" s="11" t="inlineStr">
        <is>
          <t>`docs/PRODUCT_SPEC.md` (`dc65c8e`) has the MVP slice and the deferred list. Owner decisions: root `DECISIONS.md` and `docs/DECISIONS.md`.</t>
        </is>
      </c>
    </row>
    <row r="6" ht="73.5" customHeight="1" s="19">
      <c r="A6" s="16" t="inlineStr">
        <is>
          <t>R-002</t>
        </is>
      </c>
      <c r="B6" s="16" t="inlineStr">
        <is>
          <t>P0 Scope</t>
        </is>
      </c>
      <c r="C6" s="16" t="inlineStr">
        <is>
          <t>Confirm launch geography</t>
        </is>
      </c>
      <c r="D6" s="16" t="inlineStr">
        <is>
          <t>Choose pilot city/region, supported languages, customer support hours and operating owner.</t>
        </is>
      </c>
      <c r="E6" s="16" t="inlineStr">
        <is>
          <t>Decision recorded with date and accountable person.</t>
        </is>
      </c>
      <c r="F6" s="16" t="inlineStr">
        <is>
          <t>Owner</t>
        </is>
      </c>
      <c r="G6" s="16" t="inlineStr">
        <is>
          <t>R-001</t>
        </is>
      </c>
      <c r="H6" s="16" t="inlineStr">
        <is>
          <t>Review required</t>
        </is>
      </c>
      <c r="I6" s="16" t="inlineStr">
        <is>
          <t>Owner approval</t>
        </is>
      </c>
      <c r="J6" s="16" t="inlineStr">
        <is>
          <t>Catalog cities are Bengaluru, Pune, Mumbai, Hyderabad, and Delhi NCR. Languages are English and Hindi (`lib/l10n`). No dated decision names one pilot city, support hours, and an operating owner.</t>
        </is>
      </c>
    </row>
    <row r="7" ht="73.5" customHeight="1" s="19">
      <c r="A7" s="11" t="inlineStr">
        <is>
          <t>R-003</t>
        </is>
      </c>
      <c r="B7" s="11" t="inlineStr">
        <is>
          <t>P0 Scope</t>
        </is>
      </c>
      <c r="C7" s="11" t="inlineStr">
        <is>
          <t>Confirm user roles</t>
        </is>
      </c>
      <c r="D7" s="11" t="inlineStr">
        <is>
          <t>Define tenant, owner, broker, company, flatmate and staff roles; decide whether one account can hold multiple roles.</t>
        </is>
      </c>
      <c r="E7" s="11" t="inlineStr">
        <is>
          <t>Role matrix and permissions documented.</t>
        </is>
      </c>
      <c r="F7" s="11" t="inlineStr">
        <is>
          <t>Owner + security</t>
        </is>
      </c>
      <c r="G7" s="11" t="inlineStr">
        <is>
          <t>R-001</t>
        </is>
      </c>
      <c r="H7" s="11" t="inlineStr">
        <is>
          <t>Done</t>
        </is>
      </c>
      <c r="I7" s="11" t="inlineStr">
        <is>
          <t>Review</t>
        </is>
      </c>
      <c r="J7" s="11" t="inlineStr">
        <is>
          <t>PD-02. `lib/features/roles/role_selection_screen.dart`. SQL label `one account can record both roles` in `03_profile_session.sql`. Broker, company, and flatmate are not account roles. Staff is `staff_roles`.</t>
        </is>
      </c>
    </row>
    <row r="8" ht="73.5" customHeight="1" s="19">
      <c r="A8" s="16" t="inlineStr">
        <is>
          <t>R-004</t>
        </is>
      </c>
      <c r="B8" s="16" t="inlineStr">
        <is>
          <t>P0 Scope</t>
        </is>
      </c>
      <c r="C8" s="16" t="inlineStr">
        <is>
          <t>Approve contact disclosure policy</t>
        </is>
      </c>
      <c r="D8" s="16" t="inlineStr">
        <is>
          <t>Define precisely when phone/email/address can be shown and whether consent can be revoked.</t>
        </is>
      </c>
      <c r="E8" s="16" t="inlineStr">
        <is>
          <t>Approved contact visibility policy and acceptance tests.</t>
        </is>
      </c>
      <c r="F8" s="16" t="inlineStr">
        <is>
          <t>Owner + privacy/security</t>
        </is>
      </c>
      <c r="G8" s="16" t="inlineStr">
        <is>
          <t>R-003</t>
        </is>
      </c>
      <c r="H8" s="16" t="inlineStr">
        <is>
          <t>Done</t>
        </is>
      </c>
      <c r="I8" s="16" t="inlineStr">
        <is>
          <t>Critical approval</t>
        </is>
      </c>
      <c r="J8" s="16" t="inlineStr">
        <is>
          <t>PD-04 and PD-08. `lib/features/safety/domain/contact_visibility_policy.dart`. Tests named under R-044 passed on the client.</t>
        </is>
      </c>
    </row>
    <row r="9" ht="73.5" customHeight="1" s="19">
      <c r="A9" s="11" t="inlineStr">
        <is>
          <t>R-005</t>
        </is>
      </c>
      <c r="B9" s="11" t="inlineStr">
        <is>
          <t>P0 Scope</t>
        </is>
      </c>
      <c r="C9" s="11" t="inlineStr">
        <is>
          <t>Decide optional MVP features</t>
        </is>
      </c>
      <c r="D9" s="11" t="inlineStr">
        <is>
          <t>Decide whether chat, visit scheduling, payments, maps and push notifications are required for first release.</t>
        </is>
      </c>
      <c r="E9" s="11" t="inlineStr">
        <is>
          <t>Included/deferred list approved.</t>
        </is>
      </c>
      <c r="F9" s="11" t="inlineStr">
        <is>
          <t>Owner</t>
        </is>
      </c>
      <c r="G9" s="11" t="inlineStr">
        <is>
          <t>R-001</t>
        </is>
      </c>
      <c r="H9" s="11" t="inlineStr">
        <is>
          <t>Done</t>
        </is>
      </c>
      <c r="I9" s="11" t="inlineStr">
        <is>
          <t>Owner approval</t>
        </is>
      </c>
      <c r="J9" s="11" t="inlineStr">
        <is>
          <t>Chat, visits, and in-app notices are in `docs/PRODUCT_SPEC.md`. Payments, real ID, and push are deferred in `docs/DECISIONS.md`.</t>
        </is>
      </c>
    </row>
    <row r="10" ht="73.5" customHeight="1" s="19">
      <c r="A10" s="16" t="inlineStr">
        <is>
          <t>R-006</t>
        </is>
      </c>
      <c r="B10" s="16" t="inlineStr">
        <is>
          <t>P0 Scope</t>
        </is>
      </c>
      <c r="C10" s="16" t="inlineStr">
        <is>
          <t>Define acceptance criteria</t>
        </is>
      </c>
      <c r="D10" s="16" t="inlineStr">
        <is>
          <t>Set testable criteria for signup, listing publish, discovery, match/contact privacy and account deletion.</t>
        </is>
      </c>
      <c r="E10" s="16" t="inlineStr">
        <is>
          <t>Acceptance criteria added to docs and test plan.</t>
        </is>
      </c>
      <c r="F10" s="16" t="inlineStr">
        <is>
          <t>Owner + Cursor</t>
        </is>
      </c>
      <c r="G10" s="16" t="inlineStr">
        <is>
          <t>R-001:R-005</t>
        </is>
      </c>
      <c r="H10" s="16" t="inlineStr">
        <is>
          <t>In progress</t>
        </is>
      </c>
      <c r="I10" s="16" t="inlineStr">
        <is>
          <t>Review</t>
        </is>
      </c>
      <c r="J10" s="16" t="inlineStr">
        <is>
          <t>Behaviors are in `docs/PRODUCT_SPEC.md` and the passing Flutter tests. There is no single signed acceptance checklist, and other agents are still changing product flows.</t>
        </is>
      </c>
    </row>
    <row r="11" ht="73.5" customHeight="1" s="19">
      <c r="A11" s="11" t="inlineStr">
        <is>
          <t>R-007</t>
        </is>
      </c>
      <c r="B11" s="11" t="inlineStr">
        <is>
          <t>P1 Environment</t>
        </is>
      </c>
      <c r="C11" s="11" t="inlineStr">
        <is>
          <t>Install Flutter SDK</t>
        </is>
      </c>
      <c r="D11" s="11" t="inlineStr">
        <is>
          <t>Install a stable Flutter SDK and add its bin directory to PATH.</t>
        </is>
      </c>
      <c r="E11" s="11" t="inlineStr">
        <is>
          <t>flutter --version succeeds in a new terminal.</t>
        </is>
      </c>
      <c r="F11" s="11" t="inlineStr">
        <is>
          <t>Owner</t>
        </is>
      </c>
      <c r="G11" s="11" t="inlineStr">
        <is>
          <t>R-006</t>
        </is>
      </c>
      <c r="H11" s="11" t="inlineStr">
        <is>
          <t>Done</t>
        </is>
      </c>
      <c r="I11" s="11" t="inlineStr">
        <is>
          <t>Owner action</t>
        </is>
      </c>
      <c r="J11" s="11" t="inlineStr">
        <is>
          <t>`flutter --version` printed Flutter 3.47.7. CI pins the same version in `.github/workflows/ci.yml`.</t>
        </is>
      </c>
    </row>
    <row r="12" ht="73.5" customHeight="1" s="19">
      <c r="A12" s="16" t="inlineStr">
        <is>
          <t>R-008</t>
        </is>
      </c>
      <c r="B12" s="16" t="inlineStr">
        <is>
          <t>P1 Environment</t>
        </is>
      </c>
      <c r="C12" s="16" t="inlineStr">
        <is>
          <t>Install Android Studio and SDK</t>
        </is>
      </c>
      <c r="D12" s="16" t="inlineStr">
        <is>
          <t>Install Android Studio, Android SDK, platform tools, command-line tools and emulator image.</t>
        </is>
      </c>
      <c r="E12" s="16" t="inlineStr">
        <is>
          <t>Android toolchain available and licenses accepted.</t>
        </is>
      </c>
      <c r="F12" s="16" t="inlineStr">
        <is>
          <t>Owner</t>
        </is>
      </c>
      <c r="G12" s="16" t="inlineStr">
        <is>
          <t>R-007</t>
        </is>
      </c>
      <c r="H12" s="16" t="inlineStr">
        <is>
          <t>In progress</t>
        </is>
      </c>
      <c r="I12" s="16" t="inlineStr">
        <is>
          <t>Owner action</t>
        </is>
      </c>
      <c r="J12" s="16" t="inlineStr">
        <is>
          <t>CI uses `android-actions/setup-android@v3` and Java 17. `flutter doctor` on this machine: Android SDK not found.</t>
        </is>
      </c>
    </row>
    <row r="13" ht="73.5" customHeight="1" s="19">
      <c r="A13" s="11" t="inlineStr">
        <is>
          <t>R-009</t>
        </is>
      </c>
      <c r="B13" s="11" t="inlineStr">
        <is>
          <t>P1 Environment</t>
        </is>
      </c>
      <c r="C13" s="11" t="inlineStr">
        <is>
          <t>Install Git and configure identity</t>
        </is>
      </c>
      <c r="D13" s="11" t="inlineStr">
        <is>
          <t>Install Git and configure user.name/user.email for commits.</t>
        </is>
      </c>
      <c r="E13" s="11" t="inlineStr">
        <is>
          <t>git --version and a test commit work.</t>
        </is>
      </c>
      <c r="F13" s="11" t="inlineStr">
        <is>
          <t>Owner</t>
        </is>
      </c>
      <c r="G13" s="11" t="inlineStr">
        <is>
          <t>R-007</t>
        </is>
      </c>
      <c r="H13" s="11" t="inlineStr">
        <is>
          <t>Done</t>
        </is>
      </c>
      <c r="I13" s="11" t="inlineStr">
        <is>
          <t>Owner action</t>
        </is>
      </c>
      <c r="J13" s="11" t="inlineStr">
        <is>
          <t>`git version 2.43.0`. Remote `main` at `9914e7d`.</t>
        </is>
      </c>
    </row>
    <row r="14" ht="73.5" customHeight="1" s="19">
      <c r="A14" s="16" t="inlineStr">
        <is>
          <t>R-010</t>
        </is>
      </c>
      <c r="B14" s="16" t="inlineStr">
        <is>
          <t>P1 Environment</t>
        </is>
      </c>
      <c r="C14" s="16" t="inlineStr">
        <is>
          <t>Verify environment</t>
        </is>
      </c>
      <c r="D14" s="16" t="inlineStr">
        <is>
          <t>Run flutter doctor and capture output; resolve blocking Android issues.</t>
        </is>
      </c>
      <c r="E14" s="16" t="inlineStr">
        <is>
          <t>Setup report identifies fixed and remaining warnings.</t>
        </is>
      </c>
      <c r="F14" s="16" t="inlineStr">
        <is>
          <t>Owner + Cursor</t>
        </is>
      </c>
      <c r="G14" s="16" t="inlineStr">
        <is>
          <t>R-008:R-009</t>
        </is>
      </c>
      <c r="H14" s="16" t="inlineStr">
        <is>
          <t>In progress</t>
        </is>
      </c>
      <c r="I14" s="16" t="inlineStr">
        <is>
          <t>Routine</t>
        </is>
      </c>
      <c r="J14" s="16" t="inlineStr">
        <is>
          <t>Doctor report is in the audit. Android toolchain is the remaining blocker on this machine. iOS toolchain was not expected on Linux.</t>
        </is>
      </c>
    </row>
    <row r="15" ht="73.5" customHeight="1" s="19">
      <c r="A15" s="11" t="inlineStr">
        <is>
          <t>R-011</t>
        </is>
      </c>
      <c r="B15" s="11" t="inlineStr">
        <is>
          <t>P1 Repository</t>
        </is>
      </c>
      <c r="C15" s="11" t="inlineStr">
        <is>
          <t>Create GitHub repository</t>
        </is>
      </c>
      <c r="D15" s="11" t="inlineStr">
        <is>
          <t>Create private repository, set README and default branch; decide access and branch protection.</t>
        </is>
      </c>
      <c r="E15" s="11" t="inlineStr">
        <is>
          <t>Remote repo exists and owner can push/pull.</t>
        </is>
      </c>
      <c r="F15" s="11" t="inlineStr">
        <is>
          <t>Owner</t>
        </is>
      </c>
      <c r="G15" s="11" t="inlineStr">
        <is>
          <t>R-009</t>
        </is>
      </c>
      <c r="H15" s="11" t="inlineStr">
        <is>
          <t>Done</t>
        </is>
      </c>
      <c r="I15" s="11" t="inlineStr">
        <is>
          <t>Owner action</t>
        </is>
      </c>
      <c r="J15" s="11" t="inlineStr">
        <is>
          <t>Repository exists and this clone tracks `origin/main`. Branch protection was not inspected.</t>
        </is>
      </c>
    </row>
    <row r="16" ht="73.5" customHeight="1" s="19">
      <c r="A16" s="16" t="inlineStr">
        <is>
          <t>R-012</t>
        </is>
      </c>
      <c r="B16" s="16" t="inlineStr">
        <is>
          <t>P1 Repository</t>
        </is>
      </c>
      <c r="C16" s="16" t="inlineStr">
        <is>
          <t>Create project documentation</t>
        </is>
      </c>
      <c r="D16" s="16" t="inlineStr">
        <is>
          <t>Create docs/PRODUCT_SPEC.md, TECH_STACK.md, DATA_MODEL.md, SECURITY_AND_PRIVACY.md, RELEASE_PLAN.md and DECISIONS.md from workbook.</t>
        </is>
      </c>
      <c r="E16" s="16" t="inlineStr">
        <is>
          <t>Documents are version controlled and undecided items labelled pending.</t>
        </is>
      </c>
      <c r="F16" s="16" t="inlineStr">
        <is>
          <t>Cursor</t>
        </is>
      </c>
      <c r="G16" s="16" t="inlineStr">
        <is>
          <t>R-006,R-011</t>
        </is>
      </c>
      <c r="H16" s="16" t="inlineStr">
        <is>
          <t>Done</t>
        </is>
      </c>
      <c r="I16" s="16" t="inlineStr">
        <is>
          <t>Routine</t>
        </is>
      </c>
      <c r="J16" s="16" t="inlineStr">
        <is>
          <t>`docs/PRODUCT_SPEC.md`, `TECH_STACK.md`, `DATA_MODEL.md`, `SECURITY_AND_PRIVACY.md`, `RELEASE_PLAN.md`, and `docs/DECISIONS.md`.</t>
        </is>
      </c>
    </row>
    <row r="17" ht="73.5" customHeight="1" s="19">
      <c r="A17" s="11" t="inlineStr">
        <is>
          <t>R-013</t>
        </is>
      </c>
      <c r="B17" s="11" t="inlineStr">
        <is>
          <t>P1 Repository</t>
        </is>
      </c>
      <c r="C17" s="11" t="inlineStr">
        <is>
          <t>Create Flutter project</t>
        </is>
      </c>
      <c r="D17" s="11" t="inlineStr">
        <is>
          <t>Run flutter create using approved organization/package ID with Android and iOS targets.</t>
        </is>
      </c>
      <c r="E17" s="11" t="inlineStr">
        <is>
          <t>Project builds and launches on Android emulator.</t>
        </is>
      </c>
      <c r="F17" s="11" t="inlineStr">
        <is>
          <t>Cursor</t>
        </is>
      </c>
      <c r="G17" s="11" t="inlineStr">
        <is>
          <t>R-010:R-012</t>
        </is>
      </c>
      <c r="H17" s="11" t="inlineStr">
        <is>
          <t>In progress</t>
        </is>
      </c>
      <c r="I17" s="11" t="inlineStr">
        <is>
          <t>Routine</t>
        </is>
      </c>
      <c r="J17" s="11" t="inlineStr">
        <is>
          <t>`android/` and `ios/` exist. Application id `in.homizi.app` (`3f096e4`). No emulator launch was recorded, and this machine has no Android SDK.</t>
        </is>
      </c>
    </row>
    <row r="18" ht="73.5" customHeight="1" s="19">
      <c r="A18" s="16" t="inlineStr">
        <is>
          <t>R-014</t>
        </is>
      </c>
      <c r="B18" s="16" t="inlineStr">
        <is>
          <t>P1 Repository</t>
        </is>
      </c>
      <c r="C18" s="16" t="inlineStr">
        <is>
          <t>Add ignore and environment templates</t>
        </is>
      </c>
      <c r="D18" s="16" t="inlineStr">
        <is>
          <t>Configure .gitignore, .env.example and safe local config; ensure real .env/secrets are ignored.</t>
        </is>
      </c>
      <c r="E18" s="16" t="inlineStr">
        <is>
          <t>Secret scan finds no credentials; template lists names only.</t>
        </is>
      </c>
      <c r="F18" s="16" t="inlineStr">
        <is>
          <t>Cursor</t>
        </is>
      </c>
      <c r="G18" s="16" t="inlineStr">
        <is>
          <t>R-013</t>
        </is>
      </c>
      <c r="H18" s="16" t="inlineStr">
        <is>
          <t>Done</t>
        </is>
      </c>
      <c r="I18" s="16" t="inlineStr">
        <is>
          <t>Security review</t>
        </is>
      </c>
      <c r="J18" s="16" t="inlineStr">
        <is>
          <t>`.gitignore`, `config/env.*.json.example`, secret scan passed. `app_config_test.dart`: empty Supabase values stay in demo mode.</t>
        </is>
      </c>
    </row>
    <row r="19" ht="73.5" customHeight="1" s="19">
      <c r="A19" s="11" t="inlineStr">
        <is>
          <t>R-015</t>
        </is>
      </c>
      <c r="B19" s="11" t="inlineStr">
        <is>
          <t>P1 Architecture</t>
        </is>
      </c>
      <c r="C19" s="11" t="inlineStr">
        <is>
          <t>Choose state management and navigation</t>
        </is>
      </c>
      <c r="D19" s="11" t="inlineStr">
        <is>
          <t>Select one state-management approach and routing/deep-link strategy based on project needs.</t>
        </is>
      </c>
      <c r="E19" s="11" t="inlineStr">
        <is>
          <t>Decision documented; dependencies pinned/compatible.</t>
        </is>
      </c>
      <c r="F19" s="11" t="inlineStr">
        <is>
          <t>Owner + Cursor</t>
        </is>
      </c>
      <c r="G19" s="11" t="inlineStr">
        <is>
          <t>R-013</t>
        </is>
      </c>
      <c r="H19" s="11" t="inlineStr">
        <is>
          <t>Done</t>
        </is>
      </c>
      <c r="I19" s="11" t="inlineStr">
        <is>
          <t>Technical review</t>
        </is>
      </c>
      <c r="J19" s="11" t="inlineStr">
        <is>
          <t>`docs/TECH_STACK.md`: Riverpod and go_router. `pubspec.yaml` pins `flutter_riverpod` and `go_router`.</t>
        </is>
      </c>
    </row>
    <row r="20" ht="73.5" customHeight="1" s="19">
      <c r="A20" s="16" t="inlineStr">
        <is>
          <t>R-016</t>
        </is>
      </c>
      <c r="B20" s="16" t="inlineStr">
        <is>
          <t>P1 Architecture</t>
        </is>
      </c>
      <c r="C20" s="16" t="inlineStr">
        <is>
          <t>Create feature-first structure</t>
        </is>
      </c>
      <c r="D20" s="16" t="inlineStr">
        <is>
          <t>Separate presentation, domain, data, shared UI and platform adapters.</t>
        </is>
      </c>
      <c r="E20" s="16" t="inlineStr">
        <is>
          <t>Folder structure and README architecture notes exist.</t>
        </is>
      </c>
      <c r="F20" s="16" t="inlineStr">
        <is>
          <t>Cursor</t>
        </is>
      </c>
      <c r="G20" s="16" t="inlineStr">
        <is>
          <t>R-015</t>
        </is>
      </c>
      <c r="H20" s="16" t="inlineStr">
        <is>
          <t>Done</t>
        </is>
      </c>
      <c r="I20" s="16" t="inlineStr">
        <is>
          <t>Routine</t>
        </is>
      </c>
      <c r="J20" s="16" t="inlineStr">
        <is>
          <t>`lib/features/` and `lib/core/`. README describes the architecture.</t>
        </is>
      </c>
    </row>
    <row r="21" ht="73.5" customHeight="1" s="19">
      <c r="A21" s="11" t="inlineStr">
        <is>
          <t>R-017</t>
        </is>
      </c>
      <c r="B21" s="11" t="inlineStr">
        <is>
          <t>P1 Quality</t>
        </is>
      </c>
      <c r="C21" s="11" t="inlineStr">
        <is>
          <t>Set up formatting and static analysis</t>
        </is>
      </c>
      <c r="D21" s="11" t="inlineStr">
        <is>
          <t>Configure Dart format, lints and analyzer rules.</t>
        </is>
      </c>
      <c r="E21" s="11" t="inlineStr">
        <is>
          <t>dart format check and flutter analyze run cleanly.</t>
        </is>
      </c>
      <c r="F21" s="11" t="inlineStr">
        <is>
          <t>Cursor</t>
        </is>
      </c>
      <c r="G21" s="11" t="inlineStr">
        <is>
          <t>R-016</t>
        </is>
      </c>
      <c r="H21" s="11" t="inlineStr">
        <is>
          <t>Done</t>
        </is>
      </c>
      <c r="I21" s="11" t="inlineStr">
        <is>
          <t>Routine</t>
        </is>
      </c>
      <c r="J21" s="11" t="inlineStr">
        <is>
          <t>`analysis_options.yaml`. Format exit 0. `flutter analyze`: no issues.</t>
        </is>
      </c>
    </row>
    <row r="22" ht="73.5" customHeight="1" s="19">
      <c r="A22" s="16" t="inlineStr">
        <is>
          <t>R-018</t>
        </is>
      </c>
      <c r="B22" s="16" t="inlineStr">
        <is>
          <t>P1 Quality</t>
        </is>
      </c>
      <c r="C22" s="16" t="inlineStr">
        <is>
          <t>Add first automated tests</t>
        </is>
      </c>
      <c r="D22" s="16" t="inlineStr">
        <is>
          <t>Add a basic widget test and domain test; configure CI to run them.</t>
        </is>
      </c>
      <c r="E22" s="16" t="inlineStr">
        <is>
          <t>flutter test passes locally and in CI.</t>
        </is>
      </c>
      <c r="F22" s="16" t="inlineStr">
        <is>
          <t>Cursor</t>
        </is>
      </c>
      <c r="G22" s="16" t="inlineStr">
        <is>
          <t>R-017</t>
        </is>
      </c>
      <c r="H22" s="16" t="inlineStr">
        <is>
          <t>Done</t>
        </is>
      </c>
      <c r="I22" s="16" t="inlineStr">
        <is>
          <t>Routine</t>
        </is>
      </c>
      <c r="J22" s="16" t="inlineStr">
        <is>
          <t>`flutter test`: 140 passed. CI runs `flutter test`.</t>
        </is>
      </c>
    </row>
    <row r="23" ht="73.5" customHeight="1" s="19">
      <c r="A23" s="11" t="inlineStr">
        <is>
          <t>R-019</t>
        </is>
      </c>
      <c r="B23" s="11" t="inlineStr">
        <is>
          <t>P1 Device</t>
        </is>
      </c>
      <c r="C23" s="11" t="inlineStr">
        <is>
          <t>Run on Android emulator</t>
        </is>
      </c>
      <c r="D23" s="11" t="inlineStr">
        <is>
          <t>Launch app on emulator and verify basic layout and logs.</t>
        </is>
      </c>
      <c r="E23" s="11" t="inlineStr">
        <is>
          <t>Screenshot and device/API details recorded.</t>
        </is>
      </c>
      <c r="F23" s="11" t="inlineStr">
        <is>
          <t>Owner + Cursor</t>
        </is>
      </c>
      <c r="G23" s="11" t="inlineStr">
        <is>
          <t>R-013</t>
        </is>
      </c>
      <c r="H23" s="11" t="inlineStr">
        <is>
          <t>Not started</t>
        </is>
      </c>
      <c r="I23" s="11" t="inlineStr">
        <is>
          <t>Routine</t>
        </is>
      </c>
      <c r="J23" s="11" t="inlineStr">
        <is>
          <t>No emulator screenshot, device name, or API-level log is in the repo.</t>
        </is>
      </c>
    </row>
    <row r="24" ht="73.5" customHeight="1" s="19">
      <c r="A24" s="16" t="inlineStr">
        <is>
          <t>R-020</t>
        </is>
      </c>
      <c r="B24" s="16" t="inlineStr">
        <is>
          <t>P1 Device</t>
        </is>
      </c>
      <c r="C24" s="16" t="inlineStr">
        <is>
          <t>Run on physical Android phone</t>
        </is>
      </c>
      <c r="D24" s="16" t="inlineStr">
        <is>
          <t>Enable developer options/USB debugging, connect phone and run flutter devices then flutter run -d DEVICE_ID.</t>
        </is>
      </c>
      <c r="E24" s="16" t="inlineStr">
        <is>
          <t>Starter app launches on phone and can be debugged.</t>
        </is>
      </c>
      <c r="F24" s="16" t="inlineStr">
        <is>
          <t>Owner + Cursor</t>
        </is>
      </c>
      <c r="G24" s="16" t="inlineStr">
        <is>
          <t>R-019</t>
        </is>
      </c>
      <c r="H24" s="16" t="inlineStr">
        <is>
          <t>Blocked</t>
        </is>
      </c>
      <c r="I24" s="16" t="inlineStr">
        <is>
          <t>Owner action</t>
        </is>
      </c>
      <c r="J24" s="16" t="inlineStr">
        <is>
          <t>Needs the owner's Android phone. No device id or screenshot.</t>
        </is>
      </c>
    </row>
    <row r="25" ht="73.5" customHeight="1" s="19">
      <c r="A25" s="11" t="inlineStr">
        <is>
          <t>R-021</t>
        </is>
      </c>
      <c r="B25" s="11" t="inlineStr">
        <is>
          <t>P1 Device</t>
        </is>
      </c>
      <c r="C25" s="11" t="inlineStr">
        <is>
          <t>Create first debug APK</t>
        </is>
      </c>
      <c r="D25" s="11" t="inlineStr">
        <is>
          <t>Run tests and flutter build apk --debug; install APK on phone if needed.</t>
        </is>
      </c>
      <c r="E25" s="11" t="inlineStr">
        <is>
          <t>APK path recorded; app opens on physical device.</t>
        </is>
      </c>
      <c r="F25" s="11" t="inlineStr">
        <is>
          <t>Cursor + owner</t>
        </is>
      </c>
      <c r="G25" s="11" t="inlineStr">
        <is>
          <t>R-018,R-020</t>
        </is>
      </c>
      <c r="H25" s="11" t="inlineStr">
        <is>
          <t>In progress</t>
        </is>
      </c>
      <c r="I25" s="11" t="inlineStr">
        <is>
          <t>Routine</t>
        </is>
      </c>
      <c r="J25" s="11" t="inlineStr">
        <is>
          <t>CI and `distribute.yml` name `build/app/outputs/flutter-apk/app-debug.apk`. This audit did not build it (no Android SDK). No phone install is recorded.</t>
        </is>
      </c>
    </row>
    <row r="26" ht="73.5" customHeight="1" s="19">
      <c r="A26" s="16" t="inlineStr">
        <is>
          <t>R-022</t>
        </is>
      </c>
      <c r="B26" s="16" t="inlineStr">
        <is>
          <t>P2 Backend decision</t>
        </is>
      </c>
      <c r="C26" s="16" t="inlineStr">
        <is>
          <t>Select backend provider and region</t>
        </is>
      </c>
      <c r="D26" s="16" t="inlineStr">
        <is>
          <t>Evaluate Supabase/PostgreSQL, Firebase or custom backend, terms, region, pricing, backup and feature fit.</t>
        </is>
      </c>
      <c r="E26" s="16" t="inlineStr">
        <is>
          <t>Approved provider/region decision with owner/date.</t>
        </is>
      </c>
      <c r="F26" s="16" t="inlineStr">
        <is>
          <t>Owner + security</t>
        </is>
      </c>
      <c r="G26" s="16" t="inlineStr">
        <is>
          <t>R-001,R-012</t>
        </is>
      </c>
      <c r="H26" s="16" t="inlineStr">
        <is>
          <t>In progress</t>
        </is>
      </c>
      <c r="I26" s="16" t="inlineStr">
        <is>
          <t>Approval gate</t>
        </is>
      </c>
      <c r="J26" s="16" t="inlineStr">
        <is>
          <t>Supabase is approved (D-02). Mumbai staging is live. Production region is D-08 and is still pending.</t>
        </is>
      </c>
    </row>
    <row r="27" ht="73.5" customHeight="1" s="19">
      <c r="A27" s="11" t="inlineStr">
        <is>
          <t>R-023</t>
        </is>
      </c>
      <c r="B27" s="11" t="inlineStr">
        <is>
          <t>P2 Backend</t>
        </is>
      </c>
      <c r="C27" s="11" t="inlineStr">
        <is>
          <t>Create development backend project</t>
        </is>
      </c>
      <c r="D27" s="11" t="inlineStr">
        <is>
          <t>Create a development-only project, enable required services and document environments.</t>
        </is>
      </c>
      <c r="E27" s="11" t="inlineStr">
        <is>
          <t>Dev project configured; production project separate or clearly gated.</t>
        </is>
      </c>
      <c r="F27" s="11" t="inlineStr">
        <is>
          <t>Owner</t>
        </is>
      </c>
      <c r="G27" s="11" t="inlineStr">
        <is>
          <t>R-022</t>
        </is>
      </c>
      <c r="H27" s="11" t="inlineStr">
        <is>
          <t>Done</t>
        </is>
      </c>
      <c r="I27" s="11" t="inlineStr">
        <is>
          <t>Owner action</t>
        </is>
      </c>
      <c r="J27" s="11" t="inlineStr">
        <is>
          <t>Staging project responds. Production is explicitly a different, deferred project (`docs/STAGING_SETUP.md`).</t>
        </is>
      </c>
    </row>
    <row r="28" ht="73.5" customHeight="1" s="19">
      <c r="A28" s="16" t="inlineStr">
        <is>
          <t>R-024</t>
        </is>
      </c>
      <c r="B28" s="16" t="inlineStr">
        <is>
          <t>P2 Backend</t>
        </is>
      </c>
      <c r="C28" s="16" t="inlineStr">
        <is>
          <t>Configure local secrets safely</t>
        </is>
      </c>
      <c r="D28" s="16" t="inlineStr">
        <is>
          <t>Add local environment configuration and CI secret names; test missing-secret behavior.</t>
        </is>
      </c>
      <c r="E28" s="16" t="inlineStr">
        <is>
          <t>No secrets committed; startup fails safely when required config missing.</t>
        </is>
      </c>
      <c r="F28" s="16" t="inlineStr">
        <is>
          <t>Cursor + owner</t>
        </is>
      </c>
      <c r="G28" s="16" t="inlineStr">
        <is>
          <t>R-023</t>
        </is>
      </c>
      <c r="H28" s="16" t="inlineStr">
        <is>
          <t>Done</t>
        </is>
      </c>
      <c r="I28" s="16" t="inlineStr">
        <is>
          <t>Security review</t>
        </is>
      </c>
      <c r="J28" s="16" t="inlineStr">
        <is>
          <t>Secret scan passed. Service-role client keys are refused in `lib/core/config/app_config.dart`.</t>
        </is>
      </c>
    </row>
    <row r="29" ht="73.5" customHeight="1" s="19">
      <c r="A29" s="11" t="inlineStr">
        <is>
          <t>R-025</t>
        </is>
      </c>
      <c r="B29" s="11" t="inlineStr">
        <is>
          <t>P2 Data</t>
        </is>
      </c>
      <c r="C29" s="11" t="inlineStr">
        <is>
          <t>Design database schema</t>
        </is>
      </c>
      <c r="D29" s="11" t="inlineStr">
        <is>
          <t>Model users, profiles, tenant preferences, properties, photos, interests, matches, consents, reports and blocks as MVP requires.</t>
        </is>
      </c>
      <c r="E29" s="11" t="inlineStr">
        <is>
          <t>ER diagram/schema notes and field classifications approved.</t>
        </is>
      </c>
      <c r="F29" s="11" t="inlineStr">
        <is>
          <t>Cursor + reviewer</t>
        </is>
      </c>
      <c r="G29" s="11" t="inlineStr">
        <is>
          <t>R-022</t>
        </is>
      </c>
      <c r="H29" s="11" t="inlineStr">
        <is>
          <t>Done</t>
        </is>
      </c>
      <c r="I29" s="11" t="inlineStr">
        <is>
          <t>Review</t>
        </is>
      </c>
      <c r="J29" s="11" t="inlineStr">
        <is>
          <t>`docs/DATA_MODEL.md` and `supabase/migrations/20261011120000_homizi_schema.sql` (`455837e`) plus later migrations.</t>
        </is>
      </c>
    </row>
    <row r="30" ht="73.5" customHeight="1" s="19">
      <c r="A30" s="16" t="inlineStr">
        <is>
          <t>R-026</t>
        </is>
      </c>
      <c r="B30" s="16" t="inlineStr">
        <is>
          <t>P2 Data</t>
        </is>
      </c>
      <c r="C30" s="16" t="inlineStr">
        <is>
          <t>Create migrations and seed data</t>
        </is>
      </c>
      <c r="D30" s="16" t="inlineStr">
        <is>
          <t>Version schema migrations and deterministic fake listings/test users.</t>
        </is>
      </c>
      <c r="E30" s="16" t="inlineStr">
        <is>
          <t>Fresh development database can be created reproducibly.</t>
        </is>
      </c>
      <c r="F30" s="16" t="inlineStr">
        <is>
          <t>Cursor</t>
        </is>
      </c>
      <c r="G30" s="16" t="inlineStr">
        <is>
          <t>R-025</t>
        </is>
      </c>
      <c r="H30" s="16" t="inlineStr">
        <is>
          <t>In progress</t>
        </is>
      </c>
      <c r="I30" s="16" t="inlineStr">
        <is>
          <t>Routine</t>
        </is>
      </c>
      <c r="J30" s="16" t="inlineStr">
        <is>
          <t>Migrations, `supabase/seed.sql`, and `docs/staging_seed.sql` exist. A clean `supabase db reset` was not run here. Staging already has the functions probed above.</t>
        </is>
      </c>
    </row>
    <row r="31" ht="73.5" customHeight="1" s="19">
      <c r="A31" s="11" t="inlineStr">
        <is>
          <t>R-027</t>
        </is>
      </c>
      <c r="B31" s="11" t="inlineStr">
        <is>
          <t>P2 Security</t>
        </is>
      </c>
      <c r="C31" s="11" t="inlineStr">
        <is>
          <t>Implement access control policies</t>
        </is>
      </c>
      <c r="D31" s="11" t="inlineStr">
        <is>
          <t>Add row-level/server policies for ownership, public listing fields, match membership and staff actions.</t>
        </is>
      </c>
      <c r="E31" s="11" t="inlineStr">
        <is>
          <t>Policy matrix plus positive and negative automated tests.</t>
        </is>
      </c>
      <c r="F31" s="11" t="inlineStr">
        <is>
          <t>Cursor + security reviewer</t>
        </is>
      </c>
      <c r="G31" s="11" t="inlineStr">
        <is>
          <t>R-026</t>
        </is>
      </c>
      <c r="H31" s="11" t="inlineStr">
        <is>
          <t>In progress</t>
        </is>
      </c>
      <c r="I31" s="11" t="inlineStr">
        <is>
          <t>Critical gate</t>
        </is>
      </c>
      <c r="J31" s="11" t="inlineStr">
        <is>
          <t>Policy SQL and `supabase/tests/01_rls_negative.sql` exist. Suite not executed. Staging anon denials are partial evidence.</t>
        </is>
      </c>
    </row>
    <row r="32" ht="73.5" customHeight="1" s="19">
      <c r="A32" s="16" t="inlineStr">
        <is>
          <t>R-028</t>
        </is>
      </c>
      <c r="B32" s="16" t="inlineStr">
        <is>
          <t>P2 Backend</t>
        </is>
      </c>
      <c r="C32" s="16" t="inlineStr">
        <is>
          <t>Configure file storage</t>
        </is>
      </c>
      <c r="D32" s="16" t="inlineStr">
        <is>
          <t>Create storage buckets, upload size/type rules, signed access and deletion handling.</t>
        </is>
      </c>
      <c r="E32" s="16" t="inlineStr">
        <is>
          <t>Authorized upload/download succeeds; unauthorized access is denied.</t>
        </is>
      </c>
      <c r="F32" s="16" t="inlineStr">
        <is>
          <t>Cursor</t>
        </is>
      </c>
      <c r="G32" s="16" t="inlineStr">
        <is>
          <t>R-023,R-027</t>
        </is>
      </c>
      <c r="H32" s="16" t="inlineStr">
        <is>
          <t>In progress</t>
        </is>
      </c>
      <c r="I32" s="16" t="inlineStr">
        <is>
          <t>Security review</t>
        </is>
      </c>
      <c r="J32" s="16" t="inlineStr">
        <is>
          <t>Bucket policies in `20261011120100_homizi_access.sql` and `05_listing_photo_storage.sql`. Client upload tests passed. Hosted bucket not confirmed.</t>
        </is>
      </c>
    </row>
    <row r="33" ht="73.5" customHeight="1" s="19">
      <c r="A33" s="11" t="inlineStr">
        <is>
          <t>R-029</t>
        </is>
      </c>
      <c r="B33" s="11" t="inlineStr">
        <is>
          <t>P3 UI</t>
        </is>
      </c>
      <c r="C33" s="11" t="inlineStr">
        <is>
          <t>Approve brand design tokens</t>
        </is>
      </c>
      <c r="D33" s="11" t="inlineStr">
        <is>
          <t>Confirm logo, colors, typography, spacing, icons and visual direction.</t>
        </is>
      </c>
      <c r="E33" s="11" t="inlineStr">
        <is>
          <t>Tokens documented and owner approves design baseline.</t>
        </is>
      </c>
      <c r="F33" s="11" t="inlineStr">
        <is>
          <t>Owner</t>
        </is>
      </c>
      <c r="G33" s="11" t="inlineStr">
        <is>
          <t>R-001</t>
        </is>
      </c>
      <c r="H33" s="11" t="inlineStr">
        <is>
          <t>Done</t>
        </is>
      </c>
      <c r="I33" s="11" t="inlineStr">
        <is>
          <t>Owner review</t>
        </is>
      </c>
      <c r="J33" s="11" t="inlineStr">
        <is>
          <t>PD-01, 14 October 2026. `test/core/theme/contrast_test.dart` passed.</t>
        </is>
      </c>
    </row>
    <row r="34" ht="73.5" customHeight="1" s="19">
      <c r="A34" s="16" t="inlineStr">
        <is>
          <t>R-030</t>
        </is>
      </c>
      <c r="B34" s="16" t="inlineStr">
        <is>
          <t>P3 UI</t>
        </is>
      </c>
      <c r="C34" s="16" t="inlineStr">
        <is>
          <t>Build reusable components</t>
        </is>
      </c>
      <c r="D34" s="16" t="inlineStr">
        <is>
          <t>Buttons, fields, cards, chips, photo gallery, dialogs, loading/error/empty states and accessibility labels.</t>
        </is>
      </c>
      <c r="E34" s="16" t="inlineStr">
        <is>
          <t>Components have consistent styling and widget tests.</t>
        </is>
      </c>
      <c r="F34" s="16" t="inlineStr">
        <is>
          <t>Cursor</t>
        </is>
      </c>
      <c r="G34" s="16" t="inlineStr">
        <is>
          <t>R-029,R-016</t>
        </is>
      </c>
      <c r="H34" s="16" t="inlineStr">
        <is>
          <t>Done</t>
        </is>
      </c>
      <c r="I34" s="16" t="inlineStr">
        <is>
          <t>Routine</t>
        </is>
      </c>
      <c r="J34" s="16" t="inlineStr">
        <is>
          <t>Empty, loading, and error states: `shell_screens_test.dart` passed. Brand: `brand_theme_test.dart` passed.</t>
        </is>
      </c>
    </row>
    <row r="35" ht="73.5" customHeight="1" s="19">
      <c r="A35" s="11" t="inlineStr">
        <is>
          <t>R-031</t>
        </is>
      </c>
      <c r="B35" s="11" t="inlineStr">
        <is>
          <t>P3 UI</t>
        </is>
      </c>
      <c r="C35" s="11" t="inlineStr">
        <is>
          <t>Build navigation and app shell</t>
        </is>
      </c>
      <c r="D35" s="11" t="inlineStr">
        <is>
          <t>Add onboarding/auth routes, main navigation, guarded routes and error handling.</t>
        </is>
      </c>
      <c r="E35" s="11" t="inlineStr">
        <is>
          <t>All routes work; session state routes correctly.</t>
        </is>
      </c>
      <c r="F35" s="11" t="inlineStr">
        <is>
          <t>Cursor</t>
        </is>
      </c>
      <c r="G35" s="11" t="inlineStr">
        <is>
          <t>R-030</t>
        </is>
      </c>
      <c r="H35" s="11" t="inlineStr">
        <is>
          <t>Done</t>
        </is>
      </c>
      <c r="I35" s="11" t="inlineStr">
        <is>
          <t>Routine</t>
        </is>
      </c>
      <c r="J35" s="11" t="inlineStr">
        <is>
          <t>`session_redirect_test.dart` passed (welcome, login guard, role leaves auth screens).</t>
        </is>
      </c>
    </row>
    <row r="36" ht="73.5" customHeight="1" s="19">
      <c r="A36" s="16" t="inlineStr">
        <is>
          <t>R-032</t>
        </is>
      </c>
      <c r="B36" s="16" t="inlineStr">
        <is>
          <t>P4 Auth</t>
        </is>
      </c>
      <c r="C36" s="16" t="inlineStr">
        <is>
          <t>Choose and configure authentication</t>
        </is>
      </c>
      <c r="D36" s="16" t="inlineStr">
        <is>
          <t>Approve email/phone OTP provider and verify delivery/cost/rate limits in test mode.</t>
        </is>
      </c>
      <c r="E36" s="16" t="inlineStr">
        <is>
          <t>Provider works in dev; limits and error behavior documented.</t>
        </is>
      </c>
      <c r="F36" s="16" t="inlineStr">
        <is>
          <t>Owner + Cursor</t>
        </is>
      </c>
      <c r="G36" s="16" t="inlineStr">
        <is>
          <t>R-022:R-024</t>
        </is>
      </c>
      <c r="H36" s="16" t="inlineStr">
        <is>
          <t>In progress</t>
        </is>
      </c>
      <c r="I36" s="16" t="inlineStr">
        <is>
          <t>Review</t>
        </is>
      </c>
      <c r="J36" s="16" t="inlineStr">
        <is>
          <t>Email OTP is documented in `docs/EMAIL_OTP_SETUP.md`. GoTrue health succeeded. This audit did not send or enter a real email code. SMS is off.</t>
        </is>
      </c>
    </row>
    <row r="37" ht="73.5" customHeight="1" s="19">
      <c r="A37" s="11" t="inlineStr">
        <is>
          <t>R-033</t>
        </is>
      </c>
      <c r="B37" s="11" t="inlineStr">
        <is>
          <t>P4 Auth</t>
        </is>
      </c>
      <c r="C37" s="11" t="inlineStr">
        <is>
          <t>Implement login/session lifecycle</t>
        </is>
      </c>
      <c r="D37" s="11" t="inlineStr">
        <is>
          <t>Signup/login, OTP verify, resend cooldown, logout, session expiry and recovery.</t>
        </is>
      </c>
      <c r="E37" s="11" t="inlineStr">
        <is>
          <t>Auth integration tests pass, including invalid/expired OTP.</t>
        </is>
      </c>
      <c r="F37" s="11" t="inlineStr">
        <is>
          <t>Cursor</t>
        </is>
      </c>
      <c r="G37" s="11" t="inlineStr">
        <is>
          <t>R-031,R-032</t>
        </is>
      </c>
      <c r="H37" s="11" t="inlineStr">
        <is>
          <t>In progress</t>
        </is>
      </c>
      <c r="I37" s="11" t="inlineStr">
        <is>
          <t>Security review</t>
        </is>
      </c>
      <c r="J37" s="11" t="inlineStr">
        <is>
          <t>`session_controller_test.dart` passed, including prod refusal of the development code and the staging email path. A live expired OTP was not sent to GoTrue.</t>
        </is>
      </c>
    </row>
    <row r="38" ht="73.5" customHeight="1" s="19">
      <c r="A38" s="16" t="inlineStr">
        <is>
          <t>R-034</t>
        </is>
      </c>
      <c r="B38" s="16" t="inlineStr">
        <is>
          <t>P4 Profile</t>
        </is>
      </c>
      <c r="C38" s="16" t="inlineStr">
        <is>
          <t>Implement role selection and profile forms</t>
        </is>
      </c>
      <c r="D38" s="16" t="inlineStr">
        <is>
          <t>Build tenant and host profile setup with required/optional fields and editable state.</t>
        </is>
      </c>
      <c r="E38" s="16" t="inlineStr">
        <is>
          <t>Form validation, role authorization and profile update tests pass.</t>
        </is>
      </c>
      <c r="F38" s="16" t="inlineStr">
        <is>
          <t>Cursor</t>
        </is>
      </c>
      <c r="G38" s="16" t="inlineStr">
        <is>
          <t>R-027,R-033</t>
        </is>
      </c>
      <c r="H38" s="16" t="inlineStr">
        <is>
          <t>Done</t>
        </is>
      </c>
      <c r="I38" s="16" t="inlineStr">
        <is>
          <t>Review</t>
        </is>
      </c>
      <c r="J38" s="16" t="inlineStr">
        <is>
          <t>`profile_records_test.dart` and `tenant_profile_test.dart` passed. Mock verification only.</t>
        </is>
      </c>
    </row>
    <row r="39" ht="73.5" customHeight="1" s="19">
      <c r="A39" s="11" t="inlineStr">
        <is>
          <t>R-035</t>
        </is>
      </c>
      <c r="B39" s="11" t="inlineStr">
        <is>
          <t>P4 Verification</t>
        </is>
      </c>
      <c r="C39" s="11" t="inlineStr">
        <is>
          <t>Decide identity verification provider</t>
        </is>
      </c>
      <c r="D39" s="11" t="inlineStr">
        <is>
          <t>Evaluate legal basis, consent, data flows, retention, deletion, security and provider terms.</t>
        </is>
      </c>
      <c r="E39" s="11" t="inlineStr">
        <is>
          <t>Written approval or explicit defer decision.</t>
        </is>
      </c>
      <c r="F39" s="11" t="inlineStr">
        <is>
          <t>Owner + legal/privacy/security</t>
        </is>
      </c>
      <c r="G39" s="11" t="inlineStr">
        <is>
          <t>R-034</t>
        </is>
      </c>
      <c r="H39" s="11" t="inlineStr">
        <is>
          <t>Done</t>
        </is>
      </c>
      <c r="I39" s="11" t="inlineStr">
        <is>
          <t>Critical approval</t>
        </is>
      </c>
      <c r="J39" s="11" t="inlineStr">
        <is>
          <t>Deferred on purpose (D-04). Written deferral is the decision. No provider is selected.</t>
        </is>
      </c>
    </row>
    <row r="40" ht="73.5" customHeight="1" s="19">
      <c r="A40" s="16" t="inlineStr">
        <is>
          <t>R-036</t>
        </is>
      </c>
      <c r="B40" s="16" t="inlineStr">
        <is>
          <t>P5 Requirements</t>
        </is>
      </c>
      <c r="C40" s="16" t="inlineStr">
        <is>
          <t>Build tenant requirement flow</t>
        </is>
      </c>
      <c r="D40" s="16" t="inlineStr">
        <is>
          <t>Budget, locality, move-in date, occupancy, property type, furnishing and lifestyle preferences.</t>
        </is>
      </c>
      <c r="E40" s="16" t="inlineStr">
        <is>
          <t>Create/edit/draft flows and validation tests pass.</t>
        </is>
      </c>
      <c r="F40" s="16" t="inlineStr">
        <is>
          <t>Cursor</t>
        </is>
      </c>
      <c r="G40" s="16" t="inlineStr">
        <is>
          <t>R-034</t>
        </is>
      </c>
      <c r="H40" s="16" t="inlineStr">
        <is>
          <t>Done</t>
        </is>
      </c>
      <c r="I40" s="16" t="inlineStr">
        <is>
          <t>Routine</t>
        </is>
      </c>
      <c r="J40" s="16" t="inlineStr">
        <is>
          <t>`requirement_draft_test.dart` passed (inverted budget, past move-in, complete requirement).</t>
        </is>
      </c>
    </row>
    <row r="41" ht="73.5" customHeight="1" s="19">
      <c r="A41" s="11" t="inlineStr">
        <is>
          <t>R-037</t>
        </is>
      </c>
      <c r="B41" s="11" t="inlineStr">
        <is>
          <t>P5 Listings</t>
        </is>
      </c>
      <c r="C41" s="11" t="inlineStr">
        <is>
          <t>Build host property form</t>
        </is>
      </c>
      <c r="D41" s="11" t="inlineStr">
        <is>
          <t>Property type, locality, rent, deposit, charges, amenities, restrictions, suitability and occupancy.</t>
        </is>
      </c>
      <c r="E41" s="11" t="inlineStr">
        <is>
          <t>Host can save/edit draft and preview listing.</t>
        </is>
      </c>
      <c r="F41" s="11" t="inlineStr">
        <is>
          <t>Cursor</t>
        </is>
      </c>
      <c r="G41" s="11" t="inlineStr">
        <is>
          <t>R-034</t>
        </is>
      </c>
      <c r="H41" s="11" t="inlineStr">
        <is>
          <t>Done</t>
        </is>
      </c>
      <c r="I41" s="11" t="inlineStr">
        <is>
          <t>Routine</t>
        </is>
      </c>
      <c r="J41" s="11" t="inlineStr">
        <is>
          <t>Listing wizard. `inventory_screens_test.dart`: `the listing wizard blocks a short title` passed.</t>
        </is>
      </c>
    </row>
    <row r="42" ht="73.5" customHeight="1" s="19">
      <c r="A42" s="16" t="inlineStr">
        <is>
          <t>R-038</t>
        </is>
      </c>
      <c r="B42" s="16" t="inlineStr">
        <is>
          <t>P5 Photos</t>
        </is>
      </c>
      <c r="C42" s="16" t="inlineStr">
        <is>
          <t>Build listing photo workflow</t>
        </is>
      </c>
      <c r="D42" s="16" t="inlineStr">
        <is>
          <t>Minimum 3 photos, listing-type ordering rules, primary image, progress/retry, remove/reorder.</t>
        </is>
      </c>
      <c r="E42" s="16" t="inlineStr">
        <is>
          <t>Upload/order/ownership/invalid-file tests pass.</t>
        </is>
      </c>
      <c r="F42" s="16" t="inlineStr">
        <is>
          <t>Cursor</t>
        </is>
      </c>
      <c r="G42" s="16" t="inlineStr">
        <is>
          <t>R-028,R-037</t>
        </is>
      </c>
      <c r="H42" s="16" t="inlineStr">
        <is>
          <t>In progress</t>
        </is>
      </c>
      <c r="I42" s="16" t="inlineStr">
        <is>
          <t>Security review</t>
        </is>
      </c>
      <c r="J42" s="16" t="inlineStr">
        <is>
          <t>`photo_upload_test.dart` passed (owner path, type and size refusal, pending moderation). SQL storage tests were not run.</t>
        </is>
      </c>
    </row>
    <row r="43" ht="73.5" customHeight="1" s="19">
      <c r="A43" s="11" t="inlineStr">
        <is>
          <t>R-039</t>
        </is>
      </c>
      <c r="B43" s="11" t="inlineStr">
        <is>
          <t>P5 Publishing</t>
        </is>
      </c>
      <c r="C43" s="11" t="inlineStr">
        <is>
          <t>Build publish validation</t>
        </is>
      </c>
      <c r="D43" s="11" t="inlineStr">
        <is>
          <t>Validate required fields, photos/order, moderation state and ownership on server.</t>
        </is>
      </c>
      <c r="E43" s="11" t="inlineStr">
        <is>
          <t>Invalid/incomplete listing cannot publish via UI or direct API.</t>
        </is>
      </c>
      <c r="F43" s="11" t="inlineStr">
        <is>
          <t>Cursor</t>
        </is>
      </c>
      <c r="G43" s="11" t="inlineStr">
        <is>
          <t>R-027,R-038</t>
        </is>
      </c>
      <c r="H43" s="11" t="inlineStr">
        <is>
          <t>In progress</t>
        </is>
      </c>
      <c r="I43" s="11" t="inlineStr">
        <is>
          <t>Critical gate</t>
        </is>
      </c>
      <c r="J43" s="11" t="inlineStr">
        <is>
          <t>`publish_listing` exists on staging and is denied to anon. `04_listings_requirements.sql` was not executed. Demo publish does not claim the server accepted the listing (`inventory_screens_test.dart`).</t>
        </is>
      </c>
    </row>
    <row r="44" ht="73.5" customHeight="1" s="19">
      <c r="A44" s="16" t="inlineStr">
        <is>
          <t>R-040</t>
        </is>
      </c>
      <c r="B44" s="16" t="inlineStr">
        <is>
          <t>P6 Discovery</t>
        </is>
      </c>
      <c r="C44" s="16" t="inlineStr">
        <is>
          <t>Build explore feed and filters</t>
        </is>
      </c>
      <c r="D44" s="16" t="inlineStr">
        <is>
          <t>Browse published listings, filter by budget/locality/type/furnishing/date and paginate.</t>
        </is>
      </c>
      <c r="E44" s="16" t="inlineStr">
        <is>
          <t>Feed works on device with loading/error/empty states.</t>
        </is>
      </c>
      <c r="F44" s="16" t="inlineStr">
        <is>
          <t>Cursor</t>
        </is>
      </c>
      <c r="G44" s="16" t="inlineStr">
        <is>
          <t>R-039</t>
        </is>
      </c>
      <c r="H44" s="16" t="inlineStr">
        <is>
          <t>In progress</t>
        </is>
      </c>
      <c r="I44" s="16" t="inlineStr">
        <is>
          <t>Routine</t>
        </is>
      </c>
      <c r="J44" s="16" t="inlineStr">
        <is>
          <t>`feed_page_test.dart`, `listing_filters_test.dart`, and shell loading/empty/error tests passed. The definition of done asks for a device, and no phone run is recorded.</t>
        </is>
      </c>
    </row>
    <row r="45" ht="73.5" customHeight="1" s="19">
      <c r="A45" s="11" t="inlineStr">
        <is>
          <t>R-041</t>
        </is>
      </c>
      <c r="B45" s="11" t="inlineStr">
        <is>
          <t>P6 Discovery</t>
        </is>
      </c>
      <c r="C45" s="11" t="inlineStr">
        <is>
          <t>Build listing detail screen</t>
        </is>
      </c>
      <c r="D45" s="11" t="inlineStr">
        <is>
          <t>Show approved photos, cost breakdown, amenities, host status, safety actions and approved compatibility details.</t>
        </is>
      </c>
      <c r="E45" s="11" t="inlineStr">
        <is>
          <t>No private fields are returned before authorization.</t>
        </is>
      </c>
      <c r="F45" s="11" t="inlineStr">
        <is>
          <t>Cursor</t>
        </is>
      </c>
      <c r="G45" s="11" t="inlineStr">
        <is>
          <t>R-040</t>
        </is>
      </c>
      <c r="H45" s="11" t="inlineStr">
        <is>
          <t>In progress</t>
        </is>
      </c>
      <c r="I45" s="11" t="inlineStr">
        <is>
          <t>Security review</t>
        </is>
      </c>
      <c r="J45" s="11" t="inlineStr">
        <is>
          <t>`listing detail does not render contact details` and `public listing JSON has no contact or street address` passed. Server negative tests were not run.</t>
        </is>
      </c>
    </row>
    <row r="46" ht="73.5" customHeight="1" s="19">
      <c r="A46" s="16" t="inlineStr">
        <is>
          <t>R-042</t>
        </is>
      </c>
      <c r="B46" s="16" t="inlineStr">
        <is>
          <t>P6 Matching</t>
        </is>
      </c>
      <c r="C46" s="16" t="inlineStr">
        <is>
          <t>Approve compatibility rules</t>
        </is>
      </c>
      <c r="D46" s="16" t="inlineStr">
        <is>
          <t>Define priority weights, explanation and excluded factors; review fairness risks.</t>
        </is>
      </c>
      <c r="E46" s="16" t="inlineStr">
        <is>
          <t>Owner-approved scoring specification and test examples.</t>
        </is>
      </c>
      <c r="F46" s="16" t="inlineStr">
        <is>
          <t>Owner + product reviewer</t>
        </is>
      </c>
      <c r="G46" s="16" t="inlineStr">
        <is>
          <t>R-001,R-040</t>
        </is>
      </c>
      <c r="H46" s="16" t="inlineStr">
        <is>
          <t>Done</t>
        </is>
      </c>
      <c r="I46" s="16" t="inlineStr">
        <is>
          <t>Owner review</t>
        </is>
      </c>
      <c r="J46" s="16" t="inlineStr">
        <is>
          <t>PD-06. `supabase/migrations/20261014170000_score_compatibility.sql` (`768dca8`). `compatibility_test.dart` passed (`a matching home scores 100`). Staging function exists and anon is denied.</t>
        </is>
      </c>
    </row>
    <row r="47" ht="73.5" customHeight="1" s="19">
      <c r="A47" s="11" t="inlineStr">
        <is>
          <t>R-043</t>
        </is>
      </c>
      <c r="B47" s="11" t="inlineStr">
        <is>
          <t>P6 Matching</t>
        </is>
      </c>
      <c r="C47" s="11" t="inlineStr">
        <is>
          <t>Implement interest and mutual match</t>
        </is>
      </c>
      <c r="D47" s="11" t="inlineStr">
        <is>
          <t>Like/pass/save, deduplication, reciprocal match creation, block checks and rate limits.</t>
        </is>
      </c>
      <c r="E47" s="11" t="inlineStr">
        <is>
          <t>Idempotency and reciprocal-match tests pass.</t>
        </is>
      </c>
      <c r="F47" s="11" t="inlineStr">
        <is>
          <t>Cursor</t>
        </is>
      </c>
      <c r="G47" s="11" t="inlineStr">
        <is>
          <t>R-027,R-042</t>
        </is>
      </c>
      <c r="H47" s="11" t="inlineStr">
        <is>
          <t>In progress</t>
        </is>
      </c>
      <c r="I47" s="11" t="inlineStr">
        <is>
          <t>Security review</t>
        </is>
      </c>
      <c r="J47" s="11" t="inlineStr">
        <is>
          <t>`create_interest` is idempotent, rate-limits 200 actions an hour, and checks blocks (`20261011120100_homizi_access.sql`). Pass does not delete `matches`. Client test `a pass leaves the match` passed. `02_interest_match_contact.sql` was not executed.</t>
        </is>
      </c>
    </row>
    <row r="48" ht="73.5" customHeight="1" s="19">
      <c r="A48" s="16" t="inlineStr">
        <is>
          <t>R-044</t>
        </is>
      </c>
      <c r="B48" s="16" t="inlineStr">
        <is>
          <t>P6 Privacy</t>
        </is>
      </c>
      <c r="C48" s="16" t="inlineStr">
        <is>
          <t>Implement contact disclosure and consent</t>
        </is>
      </c>
      <c r="D48" s="16" t="inlineStr">
        <is>
          <t>Implement approved server-side gate, consent records and any revocation behavior.</t>
        </is>
      </c>
      <c r="E48" s="16" t="inlineStr">
        <is>
          <t>Unauthorized API tests confirm contact absent from responses.</t>
        </is>
      </c>
      <c r="F48" s="16" t="inlineStr">
        <is>
          <t>Cursor + security reviewer</t>
        </is>
      </c>
      <c r="G48" s="16" t="inlineStr">
        <is>
          <t>R-004,R-043</t>
        </is>
      </c>
      <c r="H48" s="16" t="inlineStr">
        <is>
          <t>In progress</t>
        </is>
      </c>
      <c r="I48" s="16" t="inlineStr">
        <is>
          <t>Critical approval</t>
        </is>
      </c>
      <c r="J48" s="16" t="inlineStr">
        <is>
          <t>Client contact tests passed (see S-03). SQL leakage file not executed. Critical gate stays open until that run.</t>
        </is>
      </c>
    </row>
    <row r="49" ht="73.5" customHeight="1" s="19">
      <c r="A49" s="11" t="inlineStr">
        <is>
          <t>R-045</t>
        </is>
      </c>
      <c r="B49" s="11" t="inlineStr">
        <is>
          <t>P7 Safety</t>
        </is>
      </c>
      <c r="C49" s="11" t="inlineStr">
        <is>
          <t>Implement report and block</t>
        </is>
      </c>
      <c r="D49" s="11" t="inlineStr">
        <is>
          <t>Report users/listings, block interactions, status tracking and staff audit trail.</t>
        </is>
      </c>
      <c r="E49" s="11" t="inlineStr">
        <is>
          <t>Blocked interactions are denied and reports can be triaged.</t>
        </is>
      </c>
      <c r="F49" s="11" t="inlineStr">
        <is>
          <t>Cursor + owner</t>
        </is>
      </c>
      <c r="G49" s="11" t="inlineStr">
        <is>
          <t>R-027,R-040</t>
        </is>
      </c>
      <c r="H49" s="11" t="inlineStr">
        <is>
          <t>In progress</t>
        </is>
      </c>
      <c r="I49" s="11" t="inlineStr">
        <is>
          <t>Human review</t>
        </is>
      </c>
      <c r="J49" s="11" t="inlineStr">
        <is>
          <t>Report and block client tests passed. SOP names deep. `staff_roles` is empty. SQL file `08` and `10` were not executed.</t>
        </is>
      </c>
    </row>
    <row r="50" ht="73.5" customHeight="1" s="19">
      <c r="A50" s="16" t="inlineStr">
        <is>
          <t>R-046</t>
        </is>
      </c>
      <c r="B50" s="16" t="inlineStr">
        <is>
          <t>P7 Optional</t>
        </is>
      </c>
      <c r="C50" s="16" t="inlineStr">
        <is>
          <t>Decide and implement chat/visits</t>
        </is>
      </c>
      <c r="D50" s="16" t="inlineStr">
        <is>
          <t>If in MVP, implement match-gated chat and visit request state machine with permissions and error states.</t>
        </is>
      </c>
      <c r="E50" s="16" t="inlineStr">
        <is>
          <t>Chosen flows have provider decision and integration tests.</t>
        </is>
      </c>
      <c r="F50" s="16" t="inlineStr">
        <is>
          <t>Owner + Cursor</t>
        </is>
      </c>
      <c r="G50" s="16" t="inlineStr">
        <is>
          <t>R-043,R-044</t>
        </is>
      </c>
      <c r="H50" s="16" t="inlineStr">
        <is>
          <t>In progress</t>
        </is>
      </c>
      <c r="I50" s="16" t="inlineStr">
        <is>
          <t>Approval</t>
        </is>
      </c>
      <c r="J50" s="16" t="inlineStr">
        <is>
          <t>Chat and visits are in the product. `chat_rules_test.dart` and `chat_screen_test.dart` passed. `06_chat_visits.sql` was not executed.</t>
        </is>
      </c>
    </row>
    <row r="51" ht="73.5" customHeight="1" s="19">
      <c r="A51" s="11" t="inlineStr">
        <is>
          <t>R-047</t>
        </is>
      </c>
      <c r="B51" s="11" t="inlineStr">
        <is>
          <t>P7 Optional</t>
        </is>
      </c>
      <c r="C51" s="11" t="inlineStr">
        <is>
          <t>Configure notifications</t>
        </is>
      </c>
      <c r="D51" s="11" t="inlineStr">
        <is>
          <t>Choose push/in-app provider, user preferences and privacy-safe payloads.</t>
        </is>
      </c>
      <c r="E51" s="11" t="inlineStr">
        <is>
          <t>Test notifications on Android; document APNs path for iOS.</t>
        </is>
      </c>
      <c r="F51" s="11" t="inlineStr">
        <is>
          <t>Cursor + owner</t>
        </is>
      </c>
      <c r="G51" s="11" t="inlineStr">
        <is>
          <t>R-046</t>
        </is>
      </c>
      <c r="H51" s="11" t="inlineStr">
        <is>
          <t>In progress</t>
        </is>
      </c>
      <c r="I51" s="11" t="inlineStr">
        <is>
          <t>Review</t>
        </is>
      </c>
      <c r="J51" s="11" t="inlineStr">
        <is>
          <t>In-app inbox tests passed (`inbox_notice_test.dart`, `notifications_screen_test.dart`). Push is deferred (`docs/PUSH.md`). No Android push test.</t>
        </is>
      </c>
    </row>
    <row r="52" ht="73.5" customHeight="1" s="19">
      <c r="A52" s="16" t="inlineStr">
        <is>
          <t>R-048</t>
        </is>
      </c>
      <c r="B52" s="16" t="inlineStr">
        <is>
          <t>P8 Payments</t>
        </is>
      </c>
      <c r="C52" s="16" t="inlineStr">
        <is>
          <t>Decide payment scope and policies</t>
        </is>
      </c>
      <c r="D52" s="16" t="inlineStr">
        <is>
          <t>Confirm whether paid plans launch now; review gateway, store policy, refunds, taxes and entitlement rules.</t>
        </is>
      </c>
      <c r="E52" s="16" t="inlineStr">
        <is>
          <t>Approved include/defer decision and written payment requirements.</t>
        </is>
      </c>
      <c r="F52" s="16" t="inlineStr">
        <is>
          <t>Owner + finance/policy</t>
        </is>
      </c>
      <c r="G52" s="16" t="inlineStr">
        <is>
          <t>R-001</t>
        </is>
      </c>
      <c r="H52" s="16" t="inlineStr">
        <is>
          <t>Done</t>
        </is>
      </c>
      <c r="I52" s="16" t="inlineStr">
        <is>
          <t>Critical approval</t>
        </is>
      </c>
      <c r="J52" s="16" t="inlineStr">
        <is>
          <t>Deferral is the decision (D-06). No checkout.</t>
        </is>
      </c>
    </row>
    <row r="53" ht="73.5" customHeight="1" s="19">
      <c r="A53" s="11" t="inlineStr">
        <is>
          <t>R-049</t>
        </is>
      </c>
      <c r="B53" s="11" t="inlineStr">
        <is>
          <t>P9 QA</t>
        </is>
      </c>
      <c r="C53" s="11" t="inlineStr">
        <is>
          <t>Unit and widget test coverage</t>
        </is>
      </c>
      <c r="D53" s="11" t="inlineStr">
        <is>
          <t>Test domain rules, validation, scoring, route states and main UI states.</t>
        </is>
      </c>
      <c r="E53" s="11" t="inlineStr">
        <is>
          <t>Tests pass and key business rules have coverage.</t>
        </is>
      </c>
      <c r="F53" s="11" t="inlineStr">
        <is>
          <t>Cursor</t>
        </is>
      </c>
      <c r="G53" s="11" t="inlineStr">
        <is>
          <t>R-033:R-047</t>
        </is>
      </c>
      <c r="H53" s="11" t="inlineStr">
        <is>
          <t>Done</t>
        </is>
      </c>
      <c r="I53" s="11" t="inlineStr">
        <is>
          <t>Review</t>
        </is>
      </c>
      <c r="J53" s="11" t="inlineStr">
        <is>
          <t>`flutter test` passed: domain, validation, scoring, routes, and main UI states.</t>
        </is>
      </c>
    </row>
    <row r="54" ht="73.5" customHeight="1" s="19">
      <c r="A54" s="16" t="inlineStr">
        <is>
          <t>R-050</t>
        </is>
      </c>
      <c r="B54" s="16" t="inlineStr">
        <is>
          <t>P9 QA</t>
        </is>
      </c>
      <c r="C54" s="16" t="inlineStr">
        <is>
          <t>Integration and backend policy tests</t>
        </is>
      </c>
      <c r="D54" s="16" t="inlineStr">
        <is>
          <t>Test signup-to-listing-to-discovery-to-match flow and denied access cases.</t>
        </is>
      </c>
      <c r="E54" s="16" t="inlineStr">
        <is>
          <t>Staging integration suite passes with evidence.</t>
        </is>
      </c>
      <c r="F54" s="16" t="inlineStr">
        <is>
          <t>Cursor</t>
        </is>
      </c>
      <c r="G54" s="16" t="inlineStr">
        <is>
          <t>R-049</t>
        </is>
      </c>
      <c r="H54" s="16" t="inlineStr">
        <is>
          <t>In progress</t>
        </is>
      </c>
      <c r="I54" s="16" t="inlineStr">
        <is>
          <t>Critical gate</t>
        </is>
      </c>
      <c r="J54" s="16" t="inlineStr">
        <is>
          <t>`supabase/tests/*.sql` and the CI database job exist. `supabase test db` did not run.</t>
        </is>
      </c>
    </row>
    <row r="55" ht="73.5" customHeight="1" s="19">
      <c r="A55" s="11" t="inlineStr">
        <is>
          <t>R-051</t>
        </is>
      </c>
      <c r="B55" s="11" t="inlineStr">
        <is>
          <t>P9 QA</t>
        </is>
      </c>
      <c r="C55" s="11" t="inlineStr">
        <is>
          <t>Accessibility and responsive checks</t>
        </is>
      </c>
      <c r="D55" s="11" t="inlineStr">
        <is>
          <t>Check screen readers, labels, contrast, text scaling, touch targets and common device sizes.</t>
        </is>
      </c>
      <c r="E55" s="11" t="inlineStr">
        <is>
          <t>Accessibility findings fixed or documented as accepted risks.</t>
        </is>
      </c>
      <c r="F55" s="11" t="inlineStr">
        <is>
          <t>Cursor + owner</t>
        </is>
      </c>
      <c r="G55" s="11" t="inlineStr">
        <is>
          <t>R-030,R-040</t>
        </is>
      </c>
      <c r="H55" s="11" t="inlineStr">
        <is>
          <t>In progress</t>
        </is>
      </c>
      <c r="I55" s="11" t="inlineStr">
        <is>
          <t>Review</t>
        </is>
      </c>
      <c r="J55" s="11" t="inlineStr">
        <is>
          <t>Contrast tests and `help and settings stay usable with larger text` passed. No screen-reader pass and no signed accessibility review.</t>
        </is>
      </c>
    </row>
    <row r="56" ht="73.5" customHeight="1" s="19">
      <c r="A56" s="16" t="inlineStr">
        <is>
          <t>R-052</t>
        </is>
      </c>
      <c r="B56" s="16" t="inlineStr">
        <is>
          <t>P9 QA</t>
        </is>
      </c>
      <c r="C56" s="16" t="inlineStr">
        <is>
          <t>Physical-device regression</t>
        </is>
      </c>
      <c r="D56" s="16" t="inlineStr">
        <is>
          <t>Test install, login, listing creation, image upload, slow/offline network, resume and upgrade.</t>
        </is>
      </c>
      <c r="E56" s="16" t="inlineStr">
        <is>
          <t>No release-blocking crashes; reproducible defects logged.</t>
        </is>
      </c>
      <c r="F56" s="16" t="inlineStr">
        <is>
          <t>Owner + Cursor</t>
        </is>
      </c>
      <c r="G56" s="16" t="inlineStr">
        <is>
          <t>R-050</t>
        </is>
      </c>
      <c r="H56" s="16" t="inlineStr">
        <is>
          <t>Blocked</t>
        </is>
      </c>
      <c r="I56" s="16" t="inlineStr">
        <is>
          <t>Human testing</t>
        </is>
      </c>
      <c r="J56" s="16" t="inlineStr">
        <is>
          <t>Needs a physical phone. No regression log.</t>
        </is>
      </c>
    </row>
    <row r="57" ht="73.5" customHeight="1" s="19">
      <c r="A57" s="11" t="inlineStr">
        <is>
          <t>R-053</t>
        </is>
      </c>
      <c r="B57" s="11" t="inlineStr">
        <is>
          <t>P9 Security</t>
        </is>
      </c>
      <c r="C57" s="11" t="inlineStr">
        <is>
          <t>Security/privacy review</t>
        </is>
      </c>
      <c r="D57" s="11" t="inlineStr">
        <is>
          <t>Review secrets, permissions, authorization, upload validation, logs, data deletion, dependencies and threat model.</t>
        </is>
      </c>
      <c r="E57" s="11" t="inlineStr">
        <is>
          <t>No unresolved critical/high issues; evidence recorded.</t>
        </is>
      </c>
      <c r="F57" s="11" t="inlineStr">
        <is>
          <t>Security reviewer</t>
        </is>
      </c>
      <c r="G57" s="11" t="inlineStr">
        <is>
          <t>R-027,R-044,R-045,R-050</t>
        </is>
      </c>
      <c r="H57" s="11" t="inlineStr">
        <is>
          <t>Review required</t>
        </is>
      </c>
      <c r="I57" s="11" t="inlineStr">
        <is>
          <t>Required gate</t>
        </is>
      </c>
      <c r="J57" s="11" t="inlineStr">
        <is>
          <t>[../security/AUDIT_1017.md](../security/AUDIT_1017.md). Open high-before-launch items: unrun RLS suite, debug signing, no production backup.</t>
        </is>
      </c>
    </row>
    <row r="58" ht="73.5" customHeight="1" s="19">
      <c r="A58" s="16" t="inlineStr">
        <is>
          <t>R-054</t>
        </is>
      </c>
      <c r="B58" s="16" t="inlineStr">
        <is>
          <t>P10 Distribution</t>
        </is>
      </c>
      <c r="C58" s="16" t="inlineStr">
        <is>
          <t>Create Firebase App Distribution project</t>
        </is>
      </c>
      <c r="D58" s="16" t="inlineStr">
        <is>
          <t>Register Android app with exact package ID, invite testers and configure access.</t>
        </is>
      </c>
      <c r="E58" s="16" t="inlineStr">
        <is>
          <t>Test invitation works for owner/tester.</t>
        </is>
      </c>
      <c r="F58" s="16" t="inlineStr">
        <is>
          <t>Owner</t>
        </is>
      </c>
      <c r="G58" s="16" t="inlineStr">
        <is>
          <t>R-021</t>
        </is>
      </c>
      <c r="H58" s="16" t="inlineStr">
        <is>
          <t>Blocked</t>
        </is>
      </c>
      <c r="I58" s="16" t="inlineStr">
        <is>
          <t>Owner action</t>
        </is>
      </c>
      <c r="J58" s="16" t="inlineStr">
        <is>
          <t>`distribute.yml` skips until Firebase secrets exist. No Firebase app was found in the repo.</t>
        </is>
      </c>
    </row>
    <row r="59" ht="73.5" customHeight="1" s="19">
      <c r="A59" s="11" t="inlineStr">
        <is>
          <t>R-055</t>
        </is>
      </c>
      <c r="B59" s="11" t="inlineStr">
        <is>
          <t>P10 Distribution</t>
        </is>
      </c>
      <c r="C59" s="11" t="inlineStr">
        <is>
          <t>Publish first tester release</t>
        </is>
      </c>
      <c r="D59" s="11" t="inlineStr">
        <is>
          <t>Build APK, upload to Firebase App Distribution and share invite/release link.</t>
        </is>
      </c>
      <c r="E59" s="11" t="inlineStr">
        <is>
          <t>Phone installs distributed build and version/release notes are recorded.</t>
        </is>
      </c>
      <c r="F59" s="11" t="inlineStr">
        <is>
          <t>Owner + Cursor</t>
        </is>
      </c>
      <c r="G59" s="11" t="inlineStr">
        <is>
          <t>R-054,R-052</t>
        </is>
      </c>
      <c r="H59" s="11" t="inlineStr">
        <is>
          <t>Blocked</t>
        </is>
      </c>
      <c r="I59" s="11" t="inlineStr">
        <is>
          <t>Review</t>
        </is>
      </c>
      <c r="J59" s="11" t="inlineStr">
        <is>
          <t>Depends on R-054 and a phone install.</t>
        </is>
      </c>
    </row>
    <row r="60" ht="73.5" customHeight="1" s="19">
      <c r="A60" s="16" t="inlineStr">
        <is>
          <t>R-056</t>
        </is>
      </c>
      <c r="B60" s="16" t="inlineStr">
        <is>
          <t>P10 CI</t>
        </is>
      </c>
      <c r="C60" s="16" t="inlineStr">
        <is>
          <t>Automate build and distribution</t>
        </is>
      </c>
      <c r="D60" s="16" t="inlineStr">
        <is>
          <t>Set up GitHub Actions to run format/analyze/tests and build APK on approved branch/tag; distribute only if secrets exist.</t>
        </is>
      </c>
      <c r="E60" s="16" t="inlineStr">
        <is>
          <t>Successful CI artifact and distribution link; failure alerts work.</t>
        </is>
      </c>
      <c r="F60" s="16" t="inlineStr">
        <is>
          <t>Cursor + owner</t>
        </is>
      </c>
      <c r="G60" s="16" t="inlineStr">
        <is>
          <t>R-018,R-055</t>
        </is>
      </c>
      <c r="H60" s="16" t="inlineStr">
        <is>
          <t>In progress</t>
        </is>
      </c>
      <c r="I60" s="16" t="inlineStr">
        <is>
          <t>Review</t>
        </is>
      </c>
      <c r="J60" s="16" t="inlineStr">
        <is>
          <t>Local format, analyze, test, and scans passed. CI workflow exists (`4ac55e7` and later edits). No Actions run URL was available here. Distribution link does not exist.</t>
        </is>
      </c>
    </row>
    <row r="61" ht="73.5" customHeight="1" s="19">
      <c r="A61" s="11" t="inlineStr">
        <is>
          <t>R-057</t>
        </is>
      </c>
      <c r="B61" s="11" t="inlineStr">
        <is>
          <t>P10 Play Console</t>
        </is>
      </c>
      <c r="C61" s="11" t="inlineStr">
        <is>
          <t>Create Google Play developer account</t>
        </is>
      </c>
      <c r="D61" s="11" t="inlineStr">
        <is>
          <t>Complete account enrollment/verification and create app record under intended owner/entity.</t>
        </is>
      </c>
      <c r="E61" s="11" t="inlineStr">
        <is>
          <t>Play Console account and app record are ready.</t>
        </is>
      </c>
      <c r="F61" s="11" t="inlineStr">
        <is>
          <t>Owner</t>
        </is>
      </c>
      <c r="G61" s="11" t="inlineStr">
        <is>
          <t>R-013</t>
        </is>
      </c>
      <c r="H61" s="11" t="inlineStr">
        <is>
          <t>Blocked</t>
        </is>
      </c>
      <c r="I61" s="11" t="inlineStr">
        <is>
          <t>Owner action</t>
        </is>
      </c>
      <c r="J61" s="11" t="inlineStr">
        <is>
          <t>Play Console is deferred to the end. No account evidence.</t>
        </is>
      </c>
    </row>
    <row r="62" ht="73.5" customHeight="1" s="19">
      <c r="A62" s="16" t="inlineStr">
        <is>
          <t>R-058</t>
        </is>
      </c>
      <c r="B62" s="16" t="inlineStr">
        <is>
          <t>P10 Play Console</t>
        </is>
      </c>
      <c r="C62" s="16" t="inlineStr">
        <is>
          <t>Finalize app identifiers and signing</t>
        </is>
      </c>
      <c r="D62" s="16" t="inlineStr">
        <is>
          <t>Confirm package ID, versioning, upload key/app signing and secure backup process.</t>
        </is>
      </c>
      <c r="E62" s="16" t="inlineStr">
        <is>
          <t>Signing documented; key not committed; upgrade path tested.</t>
        </is>
      </c>
      <c r="F62" s="16" t="inlineStr">
        <is>
          <t>Owner + Cursor</t>
        </is>
      </c>
      <c r="G62" s="16" t="inlineStr">
        <is>
          <t>R-013,R-057</t>
        </is>
      </c>
      <c r="H62" s="16" t="inlineStr">
        <is>
          <t>In progress</t>
        </is>
      </c>
      <c r="I62" s="16" t="inlineStr">
        <is>
          <t>Security review</t>
        </is>
      </c>
      <c r="J62" s="16" t="inlineStr">
        <is>
          <t>Package id is set (D-07). Release `signingConfig` is the debug config in `android/app/build.gradle.kts`.</t>
        </is>
      </c>
    </row>
    <row r="63" ht="73.5" customHeight="1" s="19">
      <c r="A63" s="11" t="inlineStr">
        <is>
          <t>R-059</t>
        </is>
      </c>
      <c r="B63" s="11" t="inlineStr">
        <is>
          <t>P10 Compliance</t>
        </is>
      </c>
      <c r="C63" s="11" t="inlineStr">
        <is>
          <t>Prepare privacy/legal pages</t>
        </is>
      </c>
      <c r="D63" s="11" t="inlineStr">
        <is>
          <t>Publish Privacy Policy, Terms, support/safety page and account deletion instructions after review.</t>
        </is>
      </c>
      <c r="E63" s="11" t="inlineStr">
        <is>
          <t>Stable HTTPS URLs; content matches actual app and providers.</t>
        </is>
      </c>
      <c r="F63" s="11" t="inlineStr">
        <is>
          <t>Owner + legal reviewer</t>
        </is>
      </c>
      <c r="G63" s="11" t="inlineStr">
        <is>
          <t>R-035,R-048,R-053</t>
        </is>
      </c>
      <c r="H63" s="11" t="inlineStr">
        <is>
          <t>Review required</t>
        </is>
      </c>
      <c r="I63" s="11" t="inlineStr">
        <is>
          <t>Legal review</t>
        </is>
      </c>
      <c r="J63" s="11" t="inlineStr">
        <is>
          <t>`docs/legal/PRIVACY.md` and `TERMS.md` say draft for legal review. `legal_draft_test.dart` passed. No stable policy URL. Legal pages were not edited in this pass.</t>
        </is>
      </c>
    </row>
    <row r="64" ht="73.5" customHeight="1" s="19">
      <c r="A64" s="16" t="inlineStr">
        <is>
          <t>R-060</t>
        </is>
      </c>
      <c r="B64" s="16" t="inlineStr">
        <is>
          <t>P10 Compliance</t>
        </is>
      </c>
      <c r="C64" s="16" t="inlineStr">
        <is>
          <t>Prepare store assets and declarations</t>
        </is>
      </c>
      <c r="D64" s="16" t="inlineStr">
        <is>
          <t>Create icon, screenshots, description, category, content rating, Data safety, permissions and account access instructions.</t>
        </is>
      </c>
      <c r="E64" s="16" t="inlineStr">
        <is>
          <t>All declarations accurate and internally reviewed.</t>
        </is>
      </c>
      <c r="F64" s="16" t="inlineStr">
        <is>
          <t>Owner + Cursor</t>
        </is>
      </c>
      <c r="G64" s="16" t="inlineStr">
        <is>
          <t>R-053,R-059</t>
        </is>
      </c>
      <c r="H64" s="16" t="inlineStr">
        <is>
          <t>In progress</t>
        </is>
      </c>
      <c r="I64" s="16" t="inlineStr">
        <is>
          <t>Owner/legal review</t>
        </is>
      </c>
      <c r="J64" s="16" t="inlineStr">
        <is>
          <t>`docs/STORE_LISTING.md` is a draft. No screenshots, content rating, or Data safety form.</t>
        </is>
      </c>
    </row>
    <row r="65" ht="73.5" customHeight="1" s="19">
      <c r="A65" s="11" t="inlineStr">
        <is>
          <t>R-061</t>
        </is>
      </c>
      <c r="B65" s="11" t="inlineStr">
        <is>
          <t>P10 Release</t>
        </is>
      </c>
      <c r="C65" s="11" t="inlineStr">
        <is>
          <t>Build signed release AAB</t>
        </is>
      </c>
      <c r="D65" s="11" t="inlineStr">
        <is>
          <t>Set version/build number, verify target API policy and build with flutter build appbundle.</t>
        </is>
      </c>
      <c r="E65" s="11" t="inlineStr">
        <is>
          <t>Signed AAB artifact and build log saved; no release-blocking issues.</t>
        </is>
      </c>
      <c r="F65" s="11" t="inlineStr">
        <is>
          <t>Cursor + owner</t>
        </is>
      </c>
      <c r="G65" s="11" t="inlineStr">
        <is>
          <t>R-053,R-058</t>
        </is>
      </c>
      <c r="H65" s="11" t="inlineStr">
        <is>
          <t>Not started</t>
        </is>
      </c>
      <c r="I65" s="11" t="inlineStr">
        <is>
          <t>Review</t>
        </is>
      </c>
      <c r="J65" s="11" t="inlineStr">
        <is>
          <t>No signed AAB. Version `1.0.0+1`.</t>
        </is>
      </c>
    </row>
    <row r="66" ht="73.5" customHeight="1" s="19">
      <c r="A66" s="16" t="inlineStr">
        <is>
          <t>R-062</t>
        </is>
      </c>
      <c r="B66" s="16" t="inlineStr">
        <is>
          <t>P10 Release</t>
        </is>
      </c>
      <c r="C66" s="16" t="inlineStr">
        <is>
          <t>Run internal Play testing</t>
        </is>
      </c>
      <c r="D66" s="16" t="inlineStr">
        <is>
          <t>Upload AAB to internal testing, add testers, install via Play opt-in link and test upgrades.</t>
        </is>
      </c>
      <c r="E66" s="16" t="inlineStr">
        <is>
          <t>Internal tester can install/update; feedback and defects logged.</t>
        </is>
      </c>
      <c r="F66" s="16" t="inlineStr">
        <is>
          <t>Owner + testers</t>
        </is>
      </c>
      <c r="G66" s="16" t="inlineStr">
        <is>
          <t>R-060,R-061</t>
        </is>
      </c>
      <c r="H66" s="16" t="inlineStr">
        <is>
          <t>Not started</t>
        </is>
      </c>
      <c r="I66" s="16" t="inlineStr">
        <is>
          <t>Human testing</t>
        </is>
      </c>
      <c r="J66" s="16" t="inlineStr">
        <is>
          <t>No Play internal track.</t>
        </is>
      </c>
    </row>
    <row r="67" ht="73.5" customHeight="1" s="19">
      <c r="A67" s="11" t="inlineStr">
        <is>
          <t>R-063</t>
        </is>
      </c>
      <c r="B67" s="11" t="inlineStr">
        <is>
          <t>P10 Release</t>
        </is>
      </c>
      <c r="C67" s="11" t="inlineStr">
        <is>
          <t>Complete applicable closed testing</t>
        </is>
      </c>
      <c r="D67" s="11" t="inlineStr">
        <is>
          <t>Check account-specific Play requirements; for applicable new personal accounts, meet 12 opted-in testers continuously for 14 days and apply for production access.</t>
        </is>
      </c>
      <c r="E67" s="11" t="inlineStr">
        <is>
          <t>Required test period and production-access request completed.</t>
        </is>
      </c>
      <c r="F67" s="11" t="inlineStr">
        <is>
          <t>Owner + testers</t>
        </is>
      </c>
      <c r="G67" s="11" t="inlineStr">
        <is>
          <t>R-062</t>
        </is>
      </c>
      <c r="H67" s="11" t="inlineStr">
        <is>
          <t>Blocked</t>
        </is>
      </c>
      <c r="I67" s="11" t="inlineStr">
        <is>
          <t>External wait</t>
        </is>
      </c>
      <c r="J67" s="11" t="inlineStr">
        <is>
          <t>Account type unknown. The 14-day tester wait cannot be done in git.</t>
        </is>
      </c>
    </row>
    <row r="68" ht="73.5" customHeight="1" s="19">
      <c r="A68" s="16" t="inlineStr">
        <is>
          <t>R-064</t>
        </is>
      </c>
      <c r="B68" s="16" t="inlineStr">
        <is>
          <t>P10 Release</t>
        </is>
      </c>
      <c r="C68" s="16" t="inlineStr">
        <is>
          <t>Final go/no-go review</t>
        </is>
      </c>
      <c r="D68" s="16" t="inlineStr">
        <is>
          <t>Review tests, security, privacy declarations, support, moderation, backups, monitoring, rollback and exact release artifact.</t>
        </is>
      </c>
      <c r="E68" s="16" t="inlineStr">
        <is>
          <t>Owner signs off on version and rollout plan.</t>
        </is>
      </c>
      <c r="F68" s="16" t="inlineStr">
        <is>
          <t>Owner + reviewers</t>
        </is>
      </c>
      <c r="G68" s="16" t="inlineStr">
        <is>
          <t>R-053,R-059:R-063</t>
        </is>
      </c>
      <c r="H68" s="16" t="inlineStr">
        <is>
          <t>Not started</t>
        </is>
      </c>
      <c r="I68" s="16" t="inlineStr">
        <is>
          <t>Critical approval</t>
        </is>
      </c>
      <c r="J68" s="16" t="inlineStr">
        <is>
          <t>No go/no-go signature.</t>
        </is>
      </c>
    </row>
    <row r="69" ht="73.5" customHeight="1" s="19">
      <c r="A69" s="11" t="inlineStr">
        <is>
          <t>R-065</t>
        </is>
      </c>
      <c r="B69" s="11" t="inlineStr">
        <is>
          <t>P10 Release</t>
        </is>
      </c>
      <c r="C69" s="11" t="inlineStr">
        <is>
          <t>Submit and publish to Google Play</t>
        </is>
      </c>
      <c r="D69" s="11" t="inlineStr">
        <is>
          <t>Submit release, answer review questions, address policy feedback and use staged rollout if available.</t>
        </is>
      </c>
      <c r="E69" s="11" t="inlineStr">
        <is>
          <t>Play Console shows approved/released; public URL and version recorded.</t>
        </is>
      </c>
      <c r="F69" s="11" t="inlineStr">
        <is>
          <t>Owner</t>
        </is>
      </c>
      <c r="G69" s="11" t="inlineStr">
        <is>
          <t>R-064</t>
        </is>
      </c>
      <c r="H69" s="11" t="inlineStr">
        <is>
          <t>Blocked</t>
        </is>
      </c>
      <c r="I69" s="11" t="inlineStr">
        <is>
          <t>Human action</t>
        </is>
      </c>
      <c r="J69" s="11" t="inlineStr">
        <is>
          <t>Store submission is deferred.</t>
        </is>
      </c>
    </row>
    <row r="70" ht="73.5" customHeight="1" s="19">
      <c r="A70" s="16" t="inlineStr">
        <is>
          <t>R-066</t>
        </is>
      </c>
      <c r="B70" s="16" t="inlineStr">
        <is>
          <t>P11 Operations</t>
        </is>
      </c>
      <c r="C70" s="16" t="inlineStr">
        <is>
          <t>Set up monitoring and support</t>
        </is>
      </c>
      <c r="D70" s="16" t="inlineStr">
        <is>
          <t>Configure crash/error monitoring, alerts, support mailbox, report handling, backup checks and incident runbook.</t>
        </is>
      </c>
      <c r="E70" s="16" t="inlineStr">
        <is>
          <t>Named owners and tested escalation/rollback steps.</t>
        </is>
      </c>
      <c r="F70" s="16" t="inlineStr">
        <is>
          <t>Owner + Cursor</t>
        </is>
      </c>
      <c r="G70" s="16" t="inlineStr">
        <is>
          <t>R-053,R-064</t>
        </is>
      </c>
      <c r="H70" s="16" t="inlineStr">
        <is>
          <t>In progress</t>
        </is>
      </c>
      <c r="I70" s="16" t="inlineStr">
        <is>
          <t>Review</t>
        </is>
      </c>
      <c r="J70" s="16" t="inlineStr">
        <is>
          <t>Sentry stays off without `SENTRY_DSN` (`error_reporting_test.dart` passed). Runbook: `docs/ops/INCIDENT_ROLLBACK_RUNBOOK.md`. No live crash alerts.</t>
        </is>
      </c>
    </row>
    <row r="71" ht="73.5" customHeight="1" s="19">
      <c r="A71" s="11" t="inlineStr">
        <is>
          <t>R-067</t>
        </is>
      </c>
      <c r="B71" s="11" t="inlineStr">
        <is>
          <t>P11 Operations</t>
        </is>
      </c>
      <c r="C71" s="11" t="inlineStr">
        <is>
          <t>Post-launch health review</t>
        </is>
      </c>
      <c r="D71" s="11" t="inlineStr">
        <is>
          <t>Monitor crashes, sign-in failures, listing quality, reports, costs and feedback daily at first.</t>
        </is>
      </c>
      <c r="E71" s="11" t="inlineStr">
        <is>
          <t>First-week review and prioritized fixes recorded.</t>
        </is>
      </c>
      <c r="F71" s="11" t="inlineStr">
        <is>
          <t>Owner + Cursor</t>
        </is>
      </c>
      <c r="G71" s="11" t="inlineStr">
        <is>
          <t>R-065,R-066</t>
        </is>
      </c>
      <c r="H71" s="11" t="inlineStr">
        <is>
          <t>Not started</t>
        </is>
      </c>
      <c r="I71" s="11" t="inlineStr">
        <is>
          <t>Ongoing</t>
        </is>
      </c>
      <c r="J71" s="11" t="inlineStr">
        <is>
          <t>No public launch.</t>
        </is>
      </c>
    </row>
    <row r="72" ht="73.5" customHeight="1" s="19">
      <c r="A72" s="16" t="inlineStr">
        <is>
          <t>R-068</t>
        </is>
      </c>
      <c r="B72" s="16" t="inlineStr">
        <is>
          <t>P12 iOS</t>
        </is>
      </c>
      <c r="C72" s="16" t="inlineStr">
        <is>
          <t>Prepare macOS/Xcode build path</t>
        </is>
      </c>
      <c r="D72" s="16" t="inlineStr">
        <is>
          <t>Use Mac or macOS CI, configure bundle ID, signing, iOS simulator/device and CI secrets.</t>
        </is>
      </c>
      <c r="E72" s="16" t="inlineStr">
        <is>
          <t>iOS build/test runs on supported macOS environment.</t>
        </is>
      </c>
      <c r="F72" s="16" t="inlineStr">
        <is>
          <t>Owner + Cursor</t>
        </is>
      </c>
      <c r="G72" s="16" t="inlineStr">
        <is>
          <t>R-013,R-018</t>
        </is>
      </c>
      <c r="H72" s="16" t="inlineStr">
        <is>
          <t>In progress</t>
        </is>
      </c>
      <c r="I72" s="16" t="inlineStr">
        <is>
          <t>Owner action</t>
        </is>
      </c>
      <c r="J72" s="16" t="inlineStr">
        <is>
          <t>`ios/` and `.github/workflows/ios.yml` (`workflow_dispatch`, `flutter build ios --no-codesign`). No successful macOS run is recorded.</t>
        </is>
      </c>
    </row>
    <row r="73" ht="73.5" customHeight="1" s="19">
      <c r="A73" s="11" t="inlineStr">
        <is>
          <t>R-069</t>
        </is>
      </c>
      <c r="B73" s="11" t="inlineStr">
        <is>
          <t>P12 iOS</t>
        </is>
      </c>
      <c r="C73" s="11" t="inlineStr">
        <is>
          <t>Prepare TestFlight release</t>
        </is>
      </c>
      <c r="D73" s="11" t="inlineStr">
        <is>
          <t>Configure Apple Developer/App Store Connect, signing, privacy details, screenshots and TestFlight testing.</t>
        </is>
      </c>
      <c r="E73" s="11" t="inlineStr">
        <is>
          <t>iOS testers install a signed build via TestFlight.</t>
        </is>
      </c>
      <c r="F73" s="11" t="inlineStr">
        <is>
          <t>Owner + Cursor</t>
        </is>
      </c>
      <c r="G73" s="11" t="inlineStr">
        <is>
          <t>R-053,R-068</t>
        </is>
      </c>
      <c r="H73" s="11" t="inlineStr">
        <is>
          <t>Blocked</t>
        </is>
      </c>
      <c r="I73" s="11" t="inlineStr">
        <is>
          <t>Human review</t>
        </is>
      </c>
      <c r="J73" s="11" t="inlineStr">
        <is>
          <t>Needs an Apple Developer account and signing. TestFlight has not started.</t>
        </is>
      </c>
    </row>
    <row r="74" ht="73.5" customHeight="1" s="19">
      <c r="A74" s="16" t="inlineStr">
        <is>
          <t>R-070</t>
        </is>
      </c>
      <c r="B74" s="16" t="inlineStr">
        <is>
          <t>P12 iOS</t>
        </is>
      </c>
      <c r="C74" s="16" t="inlineStr">
        <is>
          <t>Submit to App Store</t>
        </is>
      </c>
      <c r="D74" s="16" t="inlineStr">
        <is>
          <t>Complete App Store declarations and submit approved iOS build; respond to review.</t>
        </is>
      </c>
      <c r="E74" s="16" t="inlineStr">
        <is>
          <t>App approved/released and public App Store URL recorded.</t>
        </is>
      </c>
      <c r="F74" s="16" t="inlineStr">
        <is>
          <t>Owner</t>
        </is>
      </c>
      <c r="G74" s="16" t="inlineStr">
        <is>
          <t>R-069</t>
        </is>
      </c>
      <c r="H74" s="16" t="inlineStr">
        <is>
          <t>Not started</t>
        </is>
      </c>
      <c r="I74" s="16" t="inlineStr">
        <is>
          <t>Human action</t>
        </is>
      </c>
      <c r="J74" s="16" t="inlineStr">
        <is>
          <t>No App Store submission.</t>
        </is>
      </c>
    </row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J$74"/>
  <mergeCells count="3">
    <mergeCell ref="A1:J1"/>
    <mergeCell ref="A3:J3"/>
    <mergeCell ref="A2:J2"/>
  </mergeCells>
  <conditionalFormatting sqref="H5:H74">
    <cfRule type="expression" priority="1" dxfId="5">
      <formula>H5="Done"</formula>
    </cfRule>
    <cfRule type="expression" priority="2" dxfId="6">
      <formula>H5="Blocked"</formula>
    </cfRule>
    <cfRule type="expression" priority="3" dxfId="7">
      <formula>H5="Review required"</formula>
    </cfRule>
  </conditionalFormatting>
  <dataValidations count="1">
    <dataValidation sqref="H5:H74" showDropDown="0" showInputMessage="0" showErrorMessage="0" allowBlank="1" type="list">
      <formula1>"Not started,In progress,Blocked,Review required,Done,Deferred"</formula1>
    </dataValidation>
  </dataValidation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J4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1" customWidth="1" style="19" min="1" max="1"/>
    <col width="16" customWidth="1" style="19" min="2" max="2"/>
    <col width="25" customWidth="1" style="19" min="3" max="3"/>
    <col width="54" customWidth="1" style="19" min="4" max="4"/>
    <col width="48" customWidth="1" style="19" min="5" max="5"/>
    <col width="22" customWidth="1" style="19" min="6" max="6"/>
    <col width="18" customWidth="1" style="19" min="7" max="7"/>
    <col width="19" customWidth="1" style="19" min="8" max="8"/>
    <col width="24" customWidth="1" style="19" min="9" max="9"/>
    <col width="36" customWidth="1" style="19" min="10" max="10"/>
    <col width="8.710000000000001" customWidth="1" style="19" min="11" max="26"/>
  </cols>
  <sheetData>
    <row r="1" ht="31.5" customHeight="1" s="19">
      <c r="A1" s="20" t="inlineStr">
        <is>
          <t>Execution Pipeline</t>
        </is>
      </c>
    </row>
    <row r="2" ht="33.75" customHeight="1" s="19">
      <c r="A2" s="4" t="inlineStr">
        <is>
          <t>Sequential execution checklist. Dependencies use step IDs. Cursor writes code; you approve provider, privacy, financial, destructive and production decisions.</t>
        </is>
      </c>
    </row>
    <row r="4">
      <c r="A4" s="10" t="inlineStr">
        <is>
          <t>Step ID</t>
        </is>
      </c>
      <c r="B4" s="10" t="inlineStr">
        <is>
          <t>Phase</t>
        </is>
      </c>
      <c r="C4" s="10" t="inlineStr">
        <is>
          <t>Work package</t>
        </is>
      </c>
      <c r="D4" s="10" t="inlineStr">
        <is>
          <t>Detailed actions</t>
        </is>
      </c>
      <c r="E4" s="10" t="inlineStr">
        <is>
          <t>Definition of done / evidence</t>
        </is>
      </c>
      <c r="F4" s="10" t="inlineStr">
        <is>
          <t>Owner</t>
        </is>
      </c>
      <c r="G4" s="10" t="inlineStr">
        <is>
          <t>Dependencies</t>
        </is>
      </c>
      <c r="H4" s="10" t="inlineStr">
        <is>
          <t>Status</t>
        </is>
      </c>
      <c r="I4" s="10" t="inlineStr">
        <is>
          <t>Approval type</t>
        </is>
      </c>
      <c r="J4" s="10" t="inlineStr">
        <is>
          <t>Notes</t>
        </is>
      </c>
    </row>
    <row r="5">
      <c r="A5" s="11" t="inlineStr">
        <is>
          <t>E-001</t>
        </is>
      </c>
      <c r="B5" s="11" t="inlineStr">
        <is>
          <t>P0 Scope</t>
        </is>
      </c>
      <c r="C5" s="11" t="inlineStr">
        <is>
          <t>Approve MVP</t>
        </is>
      </c>
      <c r="D5" s="11" t="inlineStr">
        <is>
          <t>Review features and select minimum releasable slice: profiles, listing creation, discovery, safety/reporting. Defer payments and real ID verification unless essential.</t>
        </is>
      </c>
      <c r="E5" s="11" t="inlineStr">
        <is>
          <t>Approved product brief and deferred-scope list in docs/PRODUCT_SPEC.md.</t>
        </is>
      </c>
      <c r="F5" s="11" t="inlineStr">
        <is>
          <t>Owner</t>
        </is>
      </c>
      <c r="G5" s="11" t="inlineStr">
        <is>
          <t>Start</t>
        </is>
      </c>
      <c r="H5" s="11" t="inlineStr">
        <is>
          <t>Done</t>
        </is>
      </c>
      <c r="I5" s="11" t="inlineStr">
        <is>
          <t>Owner approval</t>
        </is>
      </c>
      <c r="J5" s="11" t="inlineStr">
        <is>
          <t>Same evidence as R-001.</t>
        </is>
      </c>
    </row>
    <row r="6">
      <c r="A6" s="16" t="inlineStr">
        <is>
          <t>E-002</t>
        </is>
      </c>
      <c r="B6" s="16" t="inlineStr">
        <is>
          <t>P1 Setup</t>
        </is>
      </c>
      <c r="C6" s="16" t="inlineStr">
        <is>
          <t>Install tools</t>
        </is>
      </c>
      <c r="D6" s="16" t="inlineStr">
        <is>
          <t>Install Flutter/Dart, Android Studio+SDK, Git, Cursor. Run flutter doctor and git --version.</t>
        </is>
      </c>
      <c r="E6" s="16" t="inlineStr">
        <is>
          <t>Toolchain report saved; fix blocking Android toolchain issues.</t>
        </is>
      </c>
      <c r="F6" s="16" t="inlineStr">
        <is>
          <t>Owner</t>
        </is>
      </c>
      <c r="G6" s="16" t="inlineStr">
        <is>
          <t>E-001</t>
        </is>
      </c>
      <c r="H6" s="16" t="inlineStr">
        <is>
          <t>In progress</t>
        </is>
      </c>
      <c r="I6" s="16" t="inlineStr">
        <is>
          <t>Owner action</t>
        </is>
      </c>
      <c r="J6" s="16" t="inlineStr">
        <is>
          <t>Git and Flutter 3.47.7 work here. Android SDK does not.</t>
        </is>
      </c>
    </row>
    <row r="7">
      <c r="A7" s="11" t="inlineStr">
        <is>
          <t>E-003</t>
        </is>
      </c>
      <c r="B7" s="11" t="inlineStr">
        <is>
          <t>P1 Setup</t>
        </is>
      </c>
      <c r="C7" s="11" t="inlineStr">
        <is>
          <t>Create repo</t>
        </is>
      </c>
      <c r="D7" s="11" t="inlineStr">
        <is>
          <t>Create GitHub repo and local homizi folder; initialize README and .gitignore.</t>
        </is>
      </c>
      <c r="E7" s="11" t="inlineStr">
        <is>
          <t>Initial commit; no credentials committed.</t>
        </is>
      </c>
      <c r="F7" s="11" t="inlineStr">
        <is>
          <t>Owner + Cursor</t>
        </is>
      </c>
      <c r="G7" s="11" t="inlineStr">
        <is>
          <t>E-002</t>
        </is>
      </c>
      <c r="H7" s="11" t="inlineStr">
        <is>
          <t>Done</t>
        </is>
      </c>
      <c r="I7" s="11" t="inlineStr">
        <is>
          <t>Routine</t>
        </is>
      </c>
      <c r="J7" s="11" t="inlineStr">
        <is>
          <t>Repository and `.gitignore`. Secret scan passed.</t>
        </is>
      </c>
    </row>
    <row r="8">
      <c r="A8" s="16" t="inlineStr">
        <is>
          <t>E-004</t>
        </is>
      </c>
      <c r="B8" s="16" t="inlineStr">
        <is>
          <t>P1 Setup</t>
        </is>
      </c>
      <c r="C8" s="16" t="inlineStr">
        <is>
          <t>Create Flutter app</t>
        </is>
      </c>
      <c r="D8" s="16" t="inlineStr">
        <is>
          <t>Create Flutter project targeting Android+iOS and run on emulator.</t>
        </is>
      </c>
      <c r="E8" s="16" t="inlineStr">
        <is>
          <t>Starter app launches; iOS project files exist.</t>
        </is>
      </c>
      <c r="F8" s="16" t="inlineStr">
        <is>
          <t>Cursor</t>
        </is>
      </c>
      <c r="G8" s="16" t="inlineStr">
        <is>
          <t>E-003</t>
        </is>
      </c>
      <c r="H8" s="16" t="inlineStr">
        <is>
          <t>In progress</t>
        </is>
      </c>
      <c r="I8" s="16" t="inlineStr">
        <is>
          <t>Routine</t>
        </is>
      </c>
      <c r="J8" s="16" t="inlineStr">
        <is>
          <t>Flutter project with Android and iOS. Emulator launch not recorded.</t>
        </is>
      </c>
    </row>
    <row r="9">
      <c r="A9" s="11" t="inlineStr">
        <is>
          <t>E-005</t>
        </is>
      </c>
      <c r="B9" s="11" t="inlineStr">
        <is>
          <t>P1 Setup</t>
        </is>
      </c>
      <c r="C9" s="11" t="inlineStr">
        <is>
          <t>Architecture &amp; quality</t>
        </is>
      </c>
      <c r="D9" s="11" t="inlineStr">
        <is>
          <t>Add feature-first folders, navigation, one state-management approach, linting and first widget test.</t>
        </is>
      </c>
      <c r="E9" s="11" t="inlineStr">
        <is>
          <t>dart format, flutter analyze and flutter test pass.</t>
        </is>
      </c>
      <c r="F9" s="11" t="inlineStr">
        <is>
          <t>Cursor</t>
        </is>
      </c>
      <c r="G9" s="11" t="inlineStr">
        <is>
          <t>E-004</t>
        </is>
      </c>
      <c r="H9" s="11" t="inlineStr">
        <is>
          <t>Done</t>
        </is>
      </c>
      <c r="I9" s="11" t="inlineStr">
        <is>
          <t>Routine</t>
        </is>
      </c>
      <c r="J9" s="11" t="inlineStr">
        <is>
          <t>Feature folders, Riverpod, go_router, format, analyze, and the first tests through the full 140.</t>
        </is>
      </c>
    </row>
    <row r="10">
      <c r="A10" s="16" t="inlineStr">
        <is>
          <t>E-006</t>
        </is>
      </c>
      <c r="B10" s="16" t="inlineStr">
        <is>
          <t>P1 Device</t>
        </is>
      </c>
      <c r="C10" s="16" t="inlineStr">
        <is>
          <t>First phone install</t>
        </is>
      </c>
      <c r="D10" s="16" t="inlineStr">
        <is>
          <t>Enable Android Developer options + USB debugging; run flutter devices and flutter run -d DEVICE_ID.</t>
        </is>
      </c>
      <c r="E10" s="16" t="inlineStr">
        <is>
          <t>Starter app runs on physical phone; record OS and screenshot.</t>
        </is>
      </c>
      <c r="F10" s="16" t="inlineStr">
        <is>
          <t>Owner + Cursor</t>
        </is>
      </c>
      <c r="G10" s="16" t="inlineStr">
        <is>
          <t>E-004</t>
        </is>
      </c>
      <c r="H10" s="16" t="inlineStr">
        <is>
          <t>Blocked</t>
        </is>
      </c>
      <c r="I10" s="16" t="inlineStr">
        <is>
          <t>Routine</t>
        </is>
      </c>
      <c r="J10" s="16" t="inlineStr">
        <is>
          <t>Physical phone.</t>
        </is>
      </c>
    </row>
    <row r="11">
      <c r="A11" s="11" t="inlineStr">
        <is>
          <t>E-007</t>
        </is>
      </c>
      <c r="B11" s="11" t="inlineStr">
        <is>
          <t>P2 Decision</t>
        </is>
      </c>
      <c r="C11" s="11" t="inlineStr">
        <is>
          <t>Approve backend</t>
        </is>
      </c>
      <c r="D11" s="11" t="inlineStr">
        <is>
          <t>Evaluate Supabase/Firebase/custom backend, region, cost, terms and features.</t>
        </is>
      </c>
      <c r="E11" s="11" t="inlineStr">
        <is>
          <t>Decision recorded in DECISIONS.md with owner/date.</t>
        </is>
      </c>
      <c r="F11" s="11" t="inlineStr">
        <is>
          <t>Owner</t>
        </is>
      </c>
      <c r="G11" s="11" t="inlineStr">
        <is>
          <t>E-001</t>
        </is>
      </c>
      <c r="H11" s="11" t="inlineStr">
        <is>
          <t>Done</t>
        </is>
      </c>
      <c r="I11" s="11" t="inlineStr">
        <is>
          <t>Security review</t>
        </is>
      </c>
      <c r="J11" s="11" t="inlineStr">
        <is>
          <t>D-02 recorded in `docs/DECISIONS.md` with the owner and the date.</t>
        </is>
      </c>
    </row>
    <row r="12">
      <c r="A12" s="16" t="inlineStr">
        <is>
          <t>E-008</t>
        </is>
      </c>
      <c r="B12" s="16" t="inlineStr">
        <is>
          <t>P2 Backend</t>
        </is>
      </c>
      <c r="C12" s="16" t="inlineStr">
        <is>
          <t>Create dev environment</t>
        </is>
      </c>
      <c r="D12" s="16" t="inlineStr">
        <is>
          <t>Create development backend; configure auth/storage/database and environment variables; document .env.example.</t>
        </is>
      </c>
      <c r="E12" s="16" t="inlineStr">
        <is>
          <t>Dev project reachable; secrets excluded from Git.</t>
        </is>
      </c>
      <c r="F12" s="16" t="inlineStr">
        <is>
          <t>Owner + Cursor</t>
        </is>
      </c>
      <c r="G12" s="16" t="inlineStr">
        <is>
          <t>E-007</t>
        </is>
      </c>
      <c r="H12" s="16" t="inlineStr">
        <is>
          <t>Done</t>
        </is>
      </c>
      <c r="I12" s="16" t="inlineStr">
        <is>
          <t>Owner + review</t>
        </is>
      </c>
      <c r="J12" s="16" t="inlineStr">
        <is>
          <t>Staging reachable. Secrets pattern in R-014 and R-024.</t>
        </is>
      </c>
    </row>
    <row r="13">
      <c r="A13" s="11" t="inlineStr">
        <is>
          <t>E-009</t>
        </is>
      </c>
      <c r="B13" s="11" t="inlineStr">
        <is>
          <t>P2 Backend</t>
        </is>
      </c>
      <c r="C13" s="11" t="inlineStr">
        <is>
          <t>Schema migrations</t>
        </is>
      </c>
      <c r="D13" s="11" t="inlineStr">
        <is>
          <t>Create minimal tables for users/profiles, preferences, listings/photos, interests/matches, reports/blocks and consent.</t>
        </is>
      </c>
      <c r="E13" s="11" t="inlineStr">
        <is>
          <t>Migrations run from clean state; schema and seed data documented.</t>
        </is>
      </c>
      <c r="F13" s="11" t="inlineStr">
        <is>
          <t>Cursor</t>
        </is>
      </c>
      <c r="G13" s="11" t="inlineStr">
        <is>
          <t>E-008</t>
        </is>
      </c>
      <c r="H13" s="11" t="inlineStr">
        <is>
          <t>In progress</t>
        </is>
      </c>
      <c r="I13" s="11" t="inlineStr">
        <is>
          <t>Review</t>
        </is>
      </c>
      <c r="J13" s="11" t="inlineStr">
        <is>
          <t>Migrations are versioned. Clean replay not run (no Docker).</t>
        </is>
      </c>
    </row>
    <row r="14">
      <c r="A14" s="16" t="inlineStr">
        <is>
          <t>E-010</t>
        </is>
      </c>
      <c r="B14" s="16" t="inlineStr">
        <is>
          <t>P2 Security</t>
        </is>
      </c>
      <c r="C14" s="16" t="inlineStr">
        <is>
          <t>Authorization policies</t>
        </is>
      </c>
      <c r="D14" s="16" t="inlineStr">
        <is>
          <t>Add server-side/RLS rules and negative tests for cross-user access, ownership, contact privacy and admin access.</t>
        </is>
      </c>
      <c r="E14" s="16" t="inlineStr">
        <is>
          <t>Allowed and denied cases tested; no client-only security gates.</t>
        </is>
      </c>
      <c r="F14" s="16" t="inlineStr">
        <is>
          <t>Cursor + reviewer</t>
        </is>
      </c>
      <c r="G14" s="16" t="inlineStr">
        <is>
          <t>E-009</t>
        </is>
      </c>
      <c r="H14" s="16" t="inlineStr">
        <is>
          <t>In progress</t>
        </is>
      </c>
      <c r="I14" s="16" t="inlineStr">
        <is>
          <t>Security gate</t>
        </is>
      </c>
      <c r="J14" s="16" t="inlineStr">
        <is>
          <t>Negative SQL tests exist and were not executed.</t>
        </is>
      </c>
    </row>
    <row r="15">
      <c r="A15" s="11" t="inlineStr">
        <is>
          <t>E-011</t>
        </is>
      </c>
      <c r="B15" s="11" t="inlineStr">
        <is>
          <t>P3 Design</t>
        </is>
      </c>
      <c r="C15" s="11" t="inlineStr">
        <is>
          <t>Design system</t>
        </is>
      </c>
      <c r="D15" s="11" t="inlineStr">
        <is>
          <t>Build HOMIZI tokens, buttons, form fields, listing cards, photo grid and loading/error/empty states.</t>
        </is>
      </c>
      <c r="E15" s="11" t="inlineStr">
        <is>
          <t>Reusable accessible components used across screens.</t>
        </is>
      </c>
      <c r="F15" s="11" t="inlineStr">
        <is>
          <t>Cursor + owner</t>
        </is>
      </c>
      <c r="G15" s="11" t="inlineStr">
        <is>
          <t>E-004</t>
        </is>
      </c>
      <c r="H15" s="11" t="inlineStr">
        <is>
          <t>Done</t>
        </is>
      </c>
      <c r="I15" s="11" t="inlineStr">
        <is>
          <t>Owner review</t>
        </is>
      </c>
      <c r="J15" s="11" t="inlineStr">
        <is>
          <t>PD-01 and passing contrast and brand widget tests.</t>
        </is>
      </c>
    </row>
    <row r="16">
      <c r="A16" s="16" t="inlineStr">
        <is>
          <t>E-012</t>
        </is>
      </c>
      <c r="B16" s="16" t="inlineStr">
        <is>
          <t>P4 Auth</t>
        </is>
      </c>
      <c r="C16" s="16" t="inlineStr">
        <is>
          <t>Authentication</t>
        </is>
      </c>
      <c r="D16" s="16" t="inlineStr">
        <is>
          <t>Implement selected provider's login/OTP, sessions, logout, expiry and error states.</t>
        </is>
      </c>
      <c r="E16" s="16" t="inlineStr">
        <is>
          <t>Auth works in development; invalid/expired attempts tested.</t>
        </is>
      </c>
      <c r="F16" s="16" t="inlineStr">
        <is>
          <t>Cursor</t>
        </is>
      </c>
      <c r="G16" s="16" t="inlineStr">
        <is>
          <t>E-008,E-011</t>
        </is>
      </c>
      <c r="H16" s="16" t="inlineStr">
        <is>
          <t>In progress</t>
        </is>
      </c>
      <c r="I16" s="16" t="inlineStr">
        <is>
          <t>Review</t>
        </is>
      </c>
      <c r="J16" s="16" t="inlineStr">
        <is>
          <t>Same as R-032 and R-033.</t>
        </is>
      </c>
    </row>
    <row r="17">
      <c r="A17" s="11" t="inlineStr">
        <is>
          <t>E-013</t>
        </is>
      </c>
      <c r="B17" s="11" t="inlineStr">
        <is>
          <t>P4 Profiles</t>
        </is>
      </c>
      <c r="C17" s="11" t="inlineStr">
        <is>
          <t>Tenant and host profiles</t>
        </is>
      </c>
      <c r="D17" s="11" t="inlineStr">
        <is>
          <t>Implement role selection, profile fields and consent capture; use test verification status only.</t>
        </is>
      </c>
      <c r="E17" s="11" t="inlineStr">
        <is>
          <t>Validated role flows and access rules pass.</t>
        </is>
      </c>
      <c r="F17" s="11" t="inlineStr">
        <is>
          <t>Cursor</t>
        </is>
      </c>
      <c r="G17" s="11" t="inlineStr">
        <is>
          <t>E-010,E-012</t>
        </is>
      </c>
      <c r="H17" s="11" t="inlineStr">
        <is>
          <t>Done</t>
        </is>
      </c>
      <c r="I17" s="11" t="inlineStr">
        <is>
          <t>Review</t>
        </is>
      </c>
      <c r="J17" s="11" t="inlineStr">
        <is>
          <t>Profile widget and record tests passed. Mock verification only.</t>
        </is>
      </c>
    </row>
    <row r="18">
      <c r="A18" s="16" t="inlineStr">
        <is>
          <t>E-014</t>
        </is>
      </c>
      <c r="B18" s="16" t="inlineStr">
        <is>
          <t>P5 Requirements</t>
        </is>
      </c>
      <c r="C18" s="16" t="inlineStr">
        <is>
          <t>Tenant requirement flow</t>
        </is>
      </c>
      <c r="D18" s="16" t="inlineStr">
        <is>
          <t>Budget, locality, move-in date, occupancy, property type, furnishing and preferences.</t>
        </is>
      </c>
      <c r="E18" s="16" t="inlineStr">
        <is>
          <t>Create/edit/draft validation works with tests.</t>
        </is>
      </c>
      <c r="F18" s="16" t="inlineStr">
        <is>
          <t>Cursor</t>
        </is>
      </c>
      <c r="G18" s="16" t="inlineStr">
        <is>
          <t>E-013</t>
        </is>
      </c>
      <c r="H18" s="16" t="inlineStr">
        <is>
          <t>Done</t>
        </is>
      </c>
      <c r="I18" s="16" t="inlineStr">
        <is>
          <t>Routine</t>
        </is>
      </c>
      <c r="J18" s="16" t="inlineStr">
        <is>
          <t>`requirement_draft_test.dart` passed.</t>
        </is>
      </c>
    </row>
    <row r="19">
      <c r="A19" s="11" t="inlineStr">
        <is>
          <t>E-015</t>
        </is>
      </c>
      <c r="B19" s="11" t="inlineStr">
        <is>
          <t>P5 Listings</t>
        </is>
      </c>
      <c r="C19" s="11" t="inlineStr">
        <is>
          <t>Host listing form</t>
        </is>
      </c>
      <c r="D19" s="11" t="inlineStr">
        <is>
          <t>Property details, rent/deposit/charges, amenities, restrictions, draft and preview.</t>
        </is>
      </c>
      <c r="E19" s="11" t="inlineStr">
        <is>
          <t>Host can create/edit/preview valid draft.</t>
        </is>
      </c>
      <c r="F19" s="11" t="inlineStr">
        <is>
          <t>Cursor</t>
        </is>
      </c>
      <c r="G19" s="11" t="inlineStr">
        <is>
          <t>E-013</t>
        </is>
      </c>
      <c r="H19" s="11" t="inlineStr">
        <is>
          <t>Done</t>
        </is>
      </c>
      <c r="I19" s="11" t="inlineStr">
        <is>
          <t>Routine</t>
        </is>
      </c>
      <c r="J19" s="11" t="inlineStr">
        <is>
          <t>Listing wizard validation test passed.</t>
        </is>
      </c>
    </row>
    <row r="20">
      <c r="A20" s="16" t="inlineStr">
        <is>
          <t>E-016</t>
        </is>
      </c>
      <c r="B20" s="16" t="inlineStr">
        <is>
          <t>P5 Photos</t>
        </is>
      </c>
      <c r="C20" s="16" t="inlineStr">
        <is>
          <t>Upload and order photos</t>
        </is>
      </c>
      <c r="D20" s="16" t="inlineStr">
        <is>
          <t>Minimum count, order rules, primary image, retry/progress, remove/reorder and server validation.</t>
        </is>
      </c>
      <c r="E20" s="16" t="inlineStr">
        <is>
          <t>Invalid file, ownership, ordering and retry tests pass.</t>
        </is>
      </c>
      <c r="F20" s="16" t="inlineStr">
        <is>
          <t>Cursor</t>
        </is>
      </c>
      <c r="G20" s="16" t="inlineStr">
        <is>
          <t>E-008,E-015</t>
        </is>
      </c>
      <c r="H20" s="16" t="inlineStr">
        <is>
          <t>In progress</t>
        </is>
      </c>
      <c r="I20" s="16" t="inlineStr">
        <is>
          <t>Security review</t>
        </is>
      </c>
      <c r="J20" s="16" t="inlineStr">
        <is>
          <t>Client photo tests passed. Server storage tests did not run.</t>
        </is>
      </c>
    </row>
    <row r="21" ht="15.75" customHeight="1" s="19">
      <c r="A21" s="11" t="inlineStr">
        <is>
          <t>E-017</t>
        </is>
      </c>
      <c r="B21" s="11" t="inlineStr">
        <is>
          <t>P5 Publish</t>
        </is>
      </c>
      <c r="C21" s="11" t="inlineStr">
        <is>
          <t>Publish validation</t>
        </is>
      </c>
      <c r="D21" s="11" t="inlineStr">
        <is>
          <t>Validate required fields/photos and moderation state on server before publish.</t>
        </is>
      </c>
      <c r="E21" s="11" t="inlineStr">
        <is>
          <t>Invalid listing cannot publish through UI or API.</t>
        </is>
      </c>
      <c r="F21" s="11" t="inlineStr">
        <is>
          <t>Cursor</t>
        </is>
      </c>
      <c r="G21" s="11" t="inlineStr">
        <is>
          <t>E-010,E-016</t>
        </is>
      </c>
      <c r="H21" s="11" t="inlineStr">
        <is>
          <t>In progress</t>
        </is>
      </c>
      <c r="I21" s="11" t="inlineStr">
        <is>
          <t>Security review</t>
        </is>
      </c>
      <c r="J21" s="11" t="inlineStr">
        <is>
          <t>Same as R-039.</t>
        </is>
      </c>
    </row>
    <row r="22" ht="15.75" customHeight="1" s="19">
      <c r="A22" s="16" t="inlineStr">
        <is>
          <t>E-018</t>
        </is>
      </c>
      <c r="B22" s="16" t="inlineStr">
        <is>
          <t>P6 Discovery</t>
        </is>
      </c>
      <c r="C22" s="16" t="inlineStr">
        <is>
          <t>Feed and filters</t>
        </is>
      </c>
      <c r="D22" s="16" t="inlineStr">
        <is>
          <t>Build feed, detail, filters, sorting, pagination and empty/loading/error states.</t>
        </is>
      </c>
      <c r="E22" s="16" t="inlineStr">
        <is>
          <t>Works on phone; private fields excluded from results.</t>
        </is>
      </c>
      <c r="F22" s="16" t="inlineStr">
        <is>
          <t>Cursor</t>
        </is>
      </c>
      <c r="G22" s="16" t="inlineStr">
        <is>
          <t>E-017</t>
        </is>
      </c>
      <c r="H22" s="16" t="inlineStr">
        <is>
          <t>In progress</t>
        </is>
      </c>
      <c r="I22" s="16" t="inlineStr">
        <is>
          <t>Routine</t>
        </is>
      </c>
      <c r="J22" s="16" t="inlineStr">
        <is>
          <t>Feed tests passed. Not verified on a phone.</t>
        </is>
      </c>
    </row>
    <row r="23" ht="15.75" customHeight="1" s="19">
      <c r="A23" s="11" t="inlineStr">
        <is>
          <t>E-019</t>
        </is>
      </c>
      <c r="B23" s="11" t="inlineStr">
        <is>
          <t>P6 Matching</t>
        </is>
      </c>
      <c r="C23" s="11" t="inlineStr">
        <is>
          <t>Compatibility score</t>
        </is>
      </c>
      <c r="D23" s="11" t="inlineStr">
        <is>
          <t>Approve factors/weights and implement server-side explainable scoring.</t>
        </is>
      </c>
      <c r="E23" s="11" t="inlineStr">
        <is>
          <t>Documented formula and deterministic tests.</t>
        </is>
      </c>
      <c r="F23" s="11" t="inlineStr">
        <is>
          <t>Cursor + owner</t>
        </is>
      </c>
      <c r="G23" s="11" t="inlineStr">
        <is>
          <t>E-018</t>
        </is>
      </c>
      <c r="H23" s="11" t="inlineStr">
        <is>
          <t>Done</t>
        </is>
      </c>
      <c r="I23" s="11" t="inlineStr">
        <is>
          <t>Owner review</t>
        </is>
      </c>
      <c r="J23" s="11" t="inlineStr">
        <is>
          <t>Same as R-042.</t>
        </is>
      </c>
    </row>
    <row r="24" ht="15.75" customHeight="1" s="19">
      <c r="A24" s="16" t="inlineStr">
        <is>
          <t>E-020</t>
        </is>
      </c>
      <c r="B24" s="16" t="inlineStr">
        <is>
          <t>P6 Matching</t>
        </is>
      </c>
      <c r="C24" s="16" t="inlineStr">
        <is>
          <t>Interest and mutual match</t>
        </is>
      </c>
      <c r="D24" s="16" t="inlineStr">
        <is>
          <t>Like/pass/save and reciprocal matching with idempotency, block checks and rate limits.</t>
        </is>
      </c>
      <c r="E24" s="16" t="inlineStr">
        <is>
          <t>Duplicate requests do not create duplicate matches.</t>
        </is>
      </c>
      <c r="F24" s="16" t="inlineStr">
        <is>
          <t>Cursor</t>
        </is>
      </c>
      <c r="G24" s="16" t="inlineStr">
        <is>
          <t>E-010,E-019</t>
        </is>
      </c>
      <c r="H24" s="16" t="inlineStr">
        <is>
          <t>In progress</t>
        </is>
      </c>
      <c r="I24" s="16" t="inlineStr">
        <is>
          <t>Security review</t>
        </is>
      </c>
      <c r="J24" s="16" t="inlineStr">
        <is>
          <t>Same as R-043.</t>
        </is>
      </c>
    </row>
    <row r="25" ht="15.75" customHeight="1" s="19">
      <c r="A25" s="11" t="inlineStr">
        <is>
          <t>E-021</t>
        </is>
      </c>
      <c r="B25" s="11" t="inlineStr">
        <is>
          <t>P6 Privacy</t>
        </is>
      </c>
      <c r="C25" s="11" t="inlineStr">
        <is>
          <t>Contact gate</t>
        </is>
      </c>
      <c r="D25" s="11" t="inlineStr">
        <is>
          <t>Approve disclosure rules; return contact only via authorized server operation after required match/consent.</t>
        </is>
      </c>
      <c r="E25" s="11" t="inlineStr">
        <is>
          <t>Unauthorized tests prove contact fields absent from payloads.</t>
        </is>
      </c>
      <c r="F25" s="11" t="inlineStr">
        <is>
          <t>Owner + Cursor</t>
        </is>
      </c>
      <c r="G25" s="11" t="inlineStr">
        <is>
          <t>E-020</t>
        </is>
      </c>
      <c r="H25" s="11" t="inlineStr">
        <is>
          <t>In progress</t>
        </is>
      </c>
      <c r="I25" s="11" t="inlineStr">
        <is>
          <t>Explicit approval</t>
        </is>
      </c>
      <c r="J25" s="11" t="inlineStr">
        <is>
          <t>Policy is approved. Unauthorized SQL cases were not re-run.</t>
        </is>
      </c>
    </row>
    <row r="26" ht="15.75" customHeight="1" s="19">
      <c r="A26" s="16" t="inlineStr">
        <is>
          <t>E-022</t>
        </is>
      </c>
      <c r="B26" s="16" t="inlineStr">
        <is>
          <t>P7 Safety</t>
        </is>
      </c>
      <c r="C26" s="16" t="inlineStr">
        <is>
          <t>Report and block</t>
        </is>
      </c>
      <c r="D26" s="16" t="inlineStr">
        <is>
          <t>Report users/listings, block actions, moderation state and audit trail.</t>
        </is>
      </c>
      <c r="E26" s="16" t="inlineStr">
        <is>
          <t>Blocked interactions fail; reports reach a defined moderation workflow.</t>
        </is>
      </c>
      <c r="F26" s="16" t="inlineStr">
        <is>
          <t>Cursor + owner</t>
        </is>
      </c>
      <c r="G26" s="16" t="inlineStr">
        <is>
          <t>E-010,E-018</t>
        </is>
      </c>
      <c r="H26" s="16" t="inlineStr">
        <is>
          <t>In progress</t>
        </is>
      </c>
      <c r="I26" s="16" t="inlineStr">
        <is>
          <t>Human review</t>
        </is>
      </c>
      <c r="J26" s="16" t="inlineStr">
        <is>
          <t>Same as R-045.</t>
        </is>
      </c>
    </row>
    <row r="27" ht="15.75" customHeight="1" s="19">
      <c r="A27" s="11" t="inlineStr">
        <is>
          <t>E-023</t>
        </is>
      </c>
      <c r="B27" s="11" t="inlineStr">
        <is>
          <t>P7 Optional</t>
        </is>
      </c>
      <c r="C27" s="11" t="inlineStr">
        <is>
          <t>Chat, visits, notifications</t>
        </is>
      </c>
      <c r="D27" s="11" t="inlineStr">
        <is>
          <t>Decide MVP inclusion and providers; implement match-gated chat, visit state machine and push/in-app alerts if approved.</t>
        </is>
      </c>
      <c r="E27" s="11" t="inlineStr">
        <is>
          <t>Each chosen flow has auth checks and failure-state tests.</t>
        </is>
      </c>
      <c r="F27" s="11" t="inlineStr">
        <is>
          <t>Owner + Cursor</t>
        </is>
      </c>
      <c r="G27" s="11" t="inlineStr">
        <is>
          <t>E-020,E-021</t>
        </is>
      </c>
      <c r="H27" s="11" t="inlineStr">
        <is>
          <t>In progress</t>
        </is>
      </c>
      <c r="I27" s="11" t="inlineStr">
        <is>
          <t>Approval</t>
        </is>
      </c>
      <c r="J27" s="11" t="inlineStr">
        <is>
          <t>Chat, visits, and in-app notices are implemented. SQL integration tests were not run. Push is deferred.</t>
        </is>
      </c>
    </row>
    <row r="28" ht="15.75" customHeight="1" s="19">
      <c r="A28" s="16" t="inlineStr">
        <is>
          <t>E-024</t>
        </is>
      </c>
      <c r="B28" s="16" t="inlineStr">
        <is>
          <t>P8 Optional</t>
        </is>
      </c>
      <c r="C28" s="16" t="inlineStr">
        <is>
          <t>Payment go/no-go</t>
        </is>
      </c>
      <c r="D28" s="16" t="inlineStr">
        <is>
          <t>Review plans, gateway, store policy, refunds/tax/accounting and webhooks.</t>
        </is>
      </c>
      <c r="E28" s="16" t="inlineStr">
        <is>
          <t>Written decision; no fake checkout if deferred.</t>
        </is>
      </c>
      <c r="F28" s="16" t="inlineStr">
        <is>
          <t>Owner + finance</t>
        </is>
      </c>
      <c r="G28" s="16" t="inlineStr">
        <is>
          <t>E-001</t>
        </is>
      </c>
      <c r="H28" s="16" t="inlineStr">
        <is>
          <t>Done</t>
        </is>
      </c>
      <c r="I28" s="16" t="inlineStr">
        <is>
          <t>Approval gate</t>
        </is>
      </c>
      <c r="J28" s="16" t="inlineStr">
        <is>
          <t>Written deferral. No checkout.</t>
        </is>
      </c>
    </row>
    <row r="29" ht="15.75" customHeight="1" s="19">
      <c r="A29" s="11" t="inlineStr">
        <is>
          <t>E-025</t>
        </is>
      </c>
      <c r="B29" s="11" t="inlineStr">
        <is>
          <t>P9 QA</t>
        </is>
      </c>
      <c r="C29" s="11" t="inlineStr">
        <is>
          <t>Automated test suite</t>
        </is>
      </c>
      <c r="D29" s="11" t="inlineStr">
        <is>
          <t>Unit/widget/integration, backend policy, upload and main journey tests; run formatter/analyzer/tests.</t>
        </is>
      </c>
      <c r="E29" s="11" t="inlineStr">
        <is>
          <t>CI green with evidence and no unreported failures.</t>
        </is>
      </c>
      <c r="F29" s="11" t="inlineStr">
        <is>
          <t>Cursor</t>
        </is>
      </c>
      <c r="G29" s="11" t="inlineStr">
        <is>
          <t>E-012:E-023</t>
        </is>
      </c>
      <c r="H29" s="11" t="inlineStr">
        <is>
          <t>In progress</t>
        </is>
      </c>
      <c r="I29" s="11" t="inlineStr">
        <is>
          <t>Review</t>
        </is>
      </c>
      <c r="J29" s="11" t="inlineStr">
        <is>
          <t>Flutter suite green. Database suite and a CI URL were not captured.</t>
        </is>
      </c>
    </row>
    <row r="30" ht="15.75" customHeight="1" s="19">
      <c r="A30" s="16" t="inlineStr">
        <is>
          <t>E-026</t>
        </is>
      </c>
      <c r="B30" s="16" t="inlineStr">
        <is>
          <t>P9 QA</t>
        </is>
      </c>
      <c r="C30" s="16" t="inlineStr">
        <is>
          <t>Physical device regression</t>
        </is>
      </c>
      <c r="D30" s="16" t="inlineStr">
        <is>
          <t>Test network changes, offline/slow mode, resume, app update and core journeys on Android phone.</t>
        </is>
      </c>
      <c r="E30" s="16" t="inlineStr">
        <is>
          <t>No release-blocking defects; repro steps logged.</t>
        </is>
      </c>
      <c r="F30" s="16" t="inlineStr">
        <is>
          <t>Owner + Cursor</t>
        </is>
      </c>
      <c r="G30" s="16" t="inlineStr">
        <is>
          <t>E-025</t>
        </is>
      </c>
      <c r="H30" s="16" t="inlineStr">
        <is>
          <t>Blocked</t>
        </is>
      </c>
      <c r="I30" s="16" t="inlineStr">
        <is>
          <t>Human testing</t>
        </is>
      </c>
      <c r="J30" s="16" t="inlineStr">
        <is>
          <t>Physical device regression.</t>
        </is>
      </c>
    </row>
    <row r="31" ht="15.75" customHeight="1" s="19">
      <c r="A31" s="11" t="inlineStr">
        <is>
          <t>E-027</t>
        </is>
      </c>
      <c r="B31" s="11" t="inlineStr">
        <is>
          <t>P9 Security</t>
        </is>
      </c>
      <c r="C31" s="11" t="inlineStr">
        <is>
          <t>Security/privacy audit</t>
        </is>
      </c>
      <c r="D31" s="11" t="inlineStr">
        <is>
          <t>Review data inventory, policies, secrets, upload validation, deletion, logging, dependency checks and threat model.</t>
        </is>
      </c>
      <c r="E31" s="11" t="inlineStr">
        <is>
          <t>No unresolved critical/high issues; evidence recorded.</t>
        </is>
      </c>
      <c r="F31" s="11" t="inlineStr">
        <is>
          <t>Reviewer</t>
        </is>
      </c>
      <c r="G31" s="11" t="inlineStr">
        <is>
          <t>E-010,E-021,E-022,E-025</t>
        </is>
      </c>
      <c r="H31" s="11" t="inlineStr">
        <is>
          <t>Review required</t>
        </is>
      </c>
      <c r="I31" s="11" t="inlineStr">
        <is>
          <t>Required gate</t>
        </is>
      </c>
      <c r="J31" s="11" t="inlineStr">
        <is>
          <t>This audit. Open items in `docs/security/AUDIT_1017.md`.</t>
        </is>
      </c>
    </row>
    <row r="32" ht="15.75" customHeight="1" s="19">
      <c r="A32" s="16" t="inlineStr">
        <is>
          <t>E-028</t>
        </is>
      </c>
      <c r="B32" s="16" t="inlineStr">
        <is>
          <t>P10 Test delivery</t>
        </is>
      </c>
      <c r="C32" s="16" t="inlineStr">
        <is>
          <t>Firebase App Distribution</t>
        </is>
      </c>
      <c r="D32" s="16" t="inlineStr">
        <is>
          <t>Create Firebase project/app with exact package name; invite testers; upload APK and share release link.</t>
        </is>
      </c>
      <c r="E32" s="16" t="inlineStr">
        <is>
          <t>Tester can install a release and see version/release notes.</t>
        </is>
      </c>
      <c r="F32" s="16" t="inlineStr">
        <is>
          <t>Owner + Cursor</t>
        </is>
      </c>
      <c r="G32" s="16" t="inlineStr">
        <is>
          <t>E-004,E-026</t>
        </is>
      </c>
      <c r="H32" s="16" t="inlineStr">
        <is>
          <t>Blocked</t>
        </is>
      </c>
      <c r="I32" s="16" t="inlineStr">
        <is>
          <t>Owner action</t>
        </is>
      </c>
      <c r="J32" s="16" t="inlineStr">
        <is>
          <t>Firebase project secrets absent.</t>
        </is>
      </c>
    </row>
    <row r="33" ht="15.75" customHeight="1" s="19">
      <c r="A33" s="11" t="inlineStr">
        <is>
          <t>E-029</t>
        </is>
      </c>
      <c r="B33" s="11" t="inlineStr">
        <is>
          <t>P10 Automation</t>
        </is>
      </c>
      <c r="C33" s="11" t="inlineStr">
        <is>
          <t>Automate test builds</t>
        </is>
      </c>
      <c r="D33" s="11" t="inlineStr">
        <is>
          <t>CI runs checks, builds APK on approved branch/tag and uploads to Firebase only when secrets/config are present.</t>
        </is>
      </c>
      <c r="E33" s="11" t="inlineStr">
        <is>
          <t>Traceable build releases; failed jobs report errors safely.</t>
        </is>
      </c>
      <c r="F33" s="11" t="inlineStr">
        <is>
          <t>Cursor + owner</t>
        </is>
      </c>
      <c r="G33" s="11" t="inlineStr">
        <is>
          <t>E-025,E-028</t>
        </is>
      </c>
      <c r="H33" s="11" t="inlineStr">
        <is>
          <t>In progress</t>
        </is>
      </c>
      <c r="I33" s="11" t="inlineStr">
        <is>
          <t>Review</t>
        </is>
      </c>
      <c r="J33" s="11" t="inlineStr">
        <is>
          <t>`distribute.yml` builds and uploads only when secrets exist, and skips otherwise (commit `17d237f`).</t>
        </is>
      </c>
    </row>
    <row r="34" ht="15.75" customHeight="1" s="19">
      <c r="A34" s="16" t="inlineStr">
        <is>
          <t>E-030</t>
        </is>
      </c>
      <c r="B34" s="16" t="inlineStr">
        <is>
          <t>P10 Play Store</t>
        </is>
      </c>
      <c r="C34" s="16" t="inlineStr">
        <is>
          <t>Create Play Console app</t>
        </is>
      </c>
      <c r="D34" s="16" t="inlineStr">
        <is>
          <t>Create developer account/app record; set package name, listing draft, access and policy forms.</t>
        </is>
      </c>
      <c r="E34" s="16" t="inlineStr">
        <is>
          <t>Console setup checklist complete.</t>
        </is>
      </c>
      <c r="F34" s="16" t="inlineStr">
        <is>
          <t>Owner</t>
        </is>
      </c>
      <c r="G34" s="16" t="inlineStr">
        <is>
          <t>E-004</t>
        </is>
      </c>
      <c r="H34" s="16" t="inlineStr">
        <is>
          <t>Blocked</t>
        </is>
      </c>
      <c r="I34" s="16" t="inlineStr">
        <is>
          <t>Owner action</t>
        </is>
      </c>
      <c r="J34" s="16" t="inlineStr">
        <is>
          <t>Play Console account.</t>
        </is>
      </c>
    </row>
    <row r="35" ht="15.75" customHeight="1" s="19">
      <c r="A35" s="11" t="inlineStr">
        <is>
          <t>E-031</t>
        </is>
      </c>
      <c r="B35" s="11" t="inlineStr">
        <is>
          <t>P10 Play Store</t>
        </is>
      </c>
      <c r="C35" s="11" t="inlineStr">
        <is>
          <t>Signed AAB</t>
        </is>
      </c>
      <c r="D35" s="11" t="inlineStr">
        <is>
          <t>Configure upload signing securely, version/build number and target API; build release AAB and verify artifact.</t>
        </is>
      </c>
      <c r="E35" s="11" t="inlineStr">
        <is>
          <t>Signed AAB exists; signing secrets not committed.</t>
        </is>
      </c>
      <c r="F35" s="11" t="inlineStr">
        <is>
          <t>Cursor + owner</t>
        </is>
      </c>
      <c r="G35" s="11" t="inlineStr">
        <is>
          <t>E-027,E-030</t>
        </is>
      </c>
      <c r="H35" s="11" t="inlineStr">
        <is>
          <t>Not started</t>
        </is>
      </c>
      <c r="I35" s="11" t="inlineStr">
        <is>
          <t>Review</t>
        </is>
      </c>
      <c r="J35" s="11" t="inlineStr">
        <is>
          <t>No signed AAB.</t>
        </is>
      </c>
    </row>
    <row r="36" ht="15.75" customHeight="1" s="19">
      <c r="A36" s="16" t="inlineStr">
        <is>
          <t>E-032</t>
        </is>
      </c>
      <c r="B36" s="16" t="inlineStr">
        <is>
          <t>P10 Compliance</t>
        </is>
      </c>
      <c r="C36" s="16" t="inlineStr">
        <is>
          <t>Store listing and declarations</t>
        </is>
      </c>
      <c r="D36" s="16" t="inlineStr">
        <is>
          <t>Icon, screenshots, description, content rating, privacy policy, data safety, permissions, account deletion and support URLs.</t>
        </is>
      </c>
      <c r="E36" s="16" t="inlineStr">
        <is>
          <t>Declarations match actual SDK/data behavior.</t>
        </is>
      </c>
      <c r="F36" s="16" t="inlineStr">
        <is>
          <t>Owner + reviewer</t>
        </is>
      </c>
      <c r="G36" s="16" t="inlineStr">
        <is>
          <t>E-027,E-030</t>
        </is>
      </c>
      <c r="H36" s="16" t="inlineStr">
        <is>
          <t>Review required</t>
        </is>
      </c>
      <c r="I36" s="16" t="inlineStr">
        <is>
          <t>Legal/owner review</t>
        </is>
      </c>
      <c r="J36" s="16" t="inlineStr">
        <is>
          <t>Draft listing and legal text. Declarations not filed.</t>
        </is>
      </c>
    </row>
    <row r="37" ht="15.75" customHeight="1" s="19">
      <c r="A37" s="11" t="inlineStr">
        <is>
          <t>E-033</t>
        </is>
      </c>
      <c r="B37" s="11" t="inlineStr">
        <is>
          <t>P10 Testing</t>
        </is>
      </c>
      <c r="C37" s="11" t="inlineStr">
        <is>
          <t>Play internal testing</t>
        </is>
      </c>
      <c r="D37" s="11" t="inlineStr">
        <is>
          <t>Upload AAB to internal testing; add testers; install from Play opt-in link and test upgrade path.</t>
        </is>
      </c>
      <c r="E37" s="11" t="inlineStr">
        <is>
          <t>Internal track installation verified; issues fixed.</t>
        </is>
      </c>
      <c r="F37" s="11" t="inlineStr">
        <is>
          <t>Owner + Cursor</t>
        </is>
      </c>
      <c r="G37" s="11" t="inlineStr">
        <is>
          <t>E-031,E-032</t>
        </is>
      </c>
      <c r="H37" s="11" t="inlineStr">
        <is>
          <t>Not started</t>
        </is>
      </c>
      <c r="I37" s="11" t="inlineStr">
        <is>
          <t>Human testing</t>
        </is>
      </c>
      <c r="J37" s="11" t="inlineStr">
        <is>
          <t>No internal Play install.</t>
        </is>
      </c>
    </row>
    <row r="38" ht="15.75" customHeight="1" s="19">
      <c r="A38" s="16" t="inlineStr">
        <is>
          <t>E-034</t>
        </is>
      </c>
      <c r="B38" s="16" t="inlineStr">
        <is>
          <t>P10 Testing</t>
        </is>
      </c>
      <c r="C38" s="16" t="inlineStr">
        <is>
          <t>Closed test and production access</t>
        </is>
      </c>
      <c r="D38" s="16" t="inlineStr">
        <is>
          <t>For applicable new personal accounts, maintain at least 12 opted-in testers continuously for 14 days, then apply for production access.</t>
        </is>
      </c>
      <c r="E38" s="16" t="inlineStr">
        <is>
          <t>Test evidence and production-access application recorded.</t>
        </is>
      </c>
      <c r="F38" s="16" t="inlineStr">
        <is>
          <t>Owner</t>
        </is>
      </c>
      <c r="G38" s="16" t="inlineStr">
        <is>
          <t>E-033</t>
        </is>
      </c>
      <c r="H38" s="16" t="inlineStr">
        <is>
          <t>Blocked</t>
        </is>
      </c>
      <c r="I38" s="16" t="inlineStr">
        <is>
          <t>External wait</t>
        </is>
      </c>
      <c r="J38" s="16" t="inlineStr">
        <is>
          <t>Account-specific closed test.</t>
        </is>
      </c>
    </row>
    <row r="39" ht="15.75" customHeight="1" s="19">
      <c r="A39" s="11" t="inlineStr">
        <is>
          <t>E-035</t>
        </is>
      </c>
      <c r="B39" s="11" t="inlineStr">
        <is>
          <t>P10 Release</t>
        </is>
      </c>
      <c r="C39" s="11" t="inlineStr">
        <is>
          <t>Release readiness gate</t>
        </is>
      </c>
      <c r="D39" s="11" t="inlineStr">
        <is>
          <t>Review test evidence, policies, crash status, support, moderation, backup, rollback and owner approval.</t>
        </is>
      </c>
      <c r="E39" s="11" t="inlineStr">
        <is>
          <t>Written go/no-go; no critical/high issue unresolved.</t>
        </is>
      </c>
      <c r="F39" s="11" t="inlineStr">
        <is>
          <t>Owner + reviewers</t>
        </is>
      </c>
      <c r="G39" s="11" t="inlineStr">
        <is>
          <t>E-027,E-032,E-034</t>
        </is>
      </c>
      <c r="H39" s="11" t="inlineStr">
        <is>
          <t>Not started</t>
        </is>
      </c>
      <c r="I39" s="11" t="inlineStr">
        <is>
          <t>Human approval</t>
        </is>
      </c>
      <c r="J39" s="11" t="inlineStr">
        <is>
          <t>No written go/no-go.</t>
        </is>
      </c>
    </row>
    <row r="40" ht="15.75" customHeight="1" s="19">
      <c r="A40" s="16" t="inlineStr">
        <is>
          <t>E-036</t>
        </is>
      </c>
      <c r="B40" s="16" t="inlineStr">
        <is>
          <t>P10 Release</t>
        </is>
      </c>
      <c r="C40" s="16" t="inlineStr">
        <is>
          <t>Submit to production</t>
        </is>
      </c>
      <c r="D40" s="16" t="inlineStr">
        <is>
          <t>Submit signed AAB; answer review questions; resolve feedback; staged rollout if available.</t>
        </is>
      </c>
      <c r="E40" s="16" t="inlineStr">
        <is>
          <t>Play Console reports approved/released and public URL is recorded.</t>
        </is>
      </c>
      <c r="F40" s="16" t="inlineStr">
        <is>
          <t>Owner</t>
        </is>
      </c>
      <c r="G40" s="16" t="inlineStr">
        <is>
          <t>E-035</t>
        </is>
      </c>
      <c r="H40" s="16" t="inlineStr">
        <is>
          <t>Blocked</t>
        </is>
      </c>
      <c r="I40" s="16" t="inlineStr">
        <is>
          <t>Human action</t>
        </is>
      </c>
      <c r="J40" s="16" t="inlineStr">
        <is>
          <t>Submission deferred.</t>
        </is>
      </c>
    </row>
    <row r="41" ht="15.75" customHeight="1" s="19">
      <c r="A41" s="11" t="inlineStr">
        <is>
          <t>E-037</t>
        </is>
      </c>
      <c r="B41" s="11" t="inlineStr">
        <is>
          <t>P11 Ops</t>
        </is>
      </c>
      <c r="C41" s="11" t="inlineStr">
        <is>
          <t>Monitor and improve</t>
        </is>
      </c>
      <c r="D41" s="11" t="inlineStr">
        <is>
          <t>Monitor crashes, auth, listings, reports, support and costs; define hotfix/rollback process.</t>
        </is>
      </c>
      <c r="E41" s="11" t="inlineStr">
        <is>
          <t>Alerts and operational owner assigned; review cadence active.</t>
        </is>
      </c>
      <c r="F41" s="11" t="inlineStr">
        <is>
          <t>Owner + Cursor</t>
        </is>
      </c>
      <c r="G41" s="11" t="inlineStr">
        <is>
          <t>E-036</t>
        </is>
      </c>
      <c r="H41" s="11" t="inlineStr">
        <is>
          <t>Not started</t>
        </is>
      </c>
      <c r="I41" s="11" t="inlineStr">
        <is>
          <t>Ongoing</t>
        </is>
      </c>
      <c r="J41" s="11" t="inlineStr">
        <is>
          <t>No launch to monitor.</t>
        </is>
      </c>
    </row>
    <row r="42" ht="15.75" customHeight="1" s="19">
      <c r="A42" s="16" t="inlineStr">
        <is>
          <t>E-038</t>
        </is>
      </c>
      <c r="B42" s="16" t="inlineStr">
        <is>
          <t>P11 iOS</t>
        </is>
      </c>
      <c r="C42" s="16" t="inlineStr">
        <is>
          <t>Prepare iOS release</t>
        </is>
      </c>
      <c r="D42" s="16" t="inlineStr">
        <is>
          <t>Use Mac/Xcode or macOS CI; configure signing, iOS tests, TestFlight and App Store metadata.</t>
        </is>
      </c>
      <c r="E42" s="16" t="inlineStr">
        <is>
          <t>iOS release candidate passes checks and is ready for separate review.</t>
        </is>
      </c>
      <c r="F42" s="16" t="inlineStr">
        <is>
          <t>Owner + Cursor</t>
        </is>
      </c>
      <c r="G42" s="16" t="inlineStr">
        <is>
          <t>E-025,E-027</t>
        </is>
      </c>
      <c r="H42" s="16" t="inlineStr">
        <is>
          <t>In progress</t>
        </is>
      </c>
      <c r="I42" s="16" t="inlineStr">
        <is>
          <t>Separate approval</t>
        </is>
      </c>
      <c r="J42" s="16" t="inlineStr">
        <is>
          <t>iOS project and unsigned macOS workflow. No TestFlight build.</t>
        </is>
      </c>
    </row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J$42"/>
  <mergeCells count="2">
    <mergeCell ref="A1:J1"/>
    <mergeCell ref="A2:J2"/>
  </mergeCells>
  <conditionalFormatting sqref="H5:H42">
    <cfRule type="expression" priority="1" dxfId="5">
      <formula>H5="Done"</formula>
    </cfRule>
    <cfRule type="expression" priority="2" dxfId="6">
      <formula>H5="Blocked"</formula>
    </cfRule>
    <cfRule type="expression" priority="3" dxfId="7">
      <formula>H5="Review required"</formula>
    </cfRule>
  </conditionalFormatting>
  <dataValidations count="1">
    <dataValidation sqref="H5:H42" showDropDown="0" showInputMessage="0" showErrorMessage="0" allowBlank="1" type="list">
      <formula1>"Not started,In progress,Blocked,Review required,Done"</formula1>
    </dataValidation>
  </dataValidation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D1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6" customWidth="1" style="19" min="1" max="1"/>
    <col width="28" customWidth="1" style="19" min="2" max="2"/>
    <col width="88" customWidth="1" style="19" min="3" max="3"/>
    <col width="48" customWidth="1" style="19" min="4" max="4"/>
    <col width="8.710000000000001" customWidth="1" style="19" min="5" max="26"/>
  </cols>
  <sheetData>
    <row r="1" ht="31.5" customHeight="1" s="19">
      <c r="A1" s="20" t="inlineStr">
        <is>
          <t>Cursor Prompts</t>
        </is>
      </c>
    </row>
    <row r="2" ht="33.75" customHeight="1" s="19">
      <c r="A2" s="4" t="inlineStr">
        <is>
          <t>Copy one task prompt at a time into Cursor Agent. Never ask the agent to build everything in one shot.</t>
        </is>
      </c>
    </row>
    <row r="4">
      <c r="A4" s="10" t="inlineStr">
        <is>
          <t>Prompt ID</t>
        </is>
      </c>
      <c r="B4" s="10" t="inlineStr">
        <is>
          <t>Purpose</t>
        </is>
      </c>
      <c r="C4" s="10" t="inlineStr">
        <is>
          <t>Prompt to paste into Cursor</t>
        </is>
      </c>
      <c r="D4" s="10" t="inlineStr">
        <is>
          <t>Use when</t>
        </is>
      </c>
    </row>
    <row r="5">
      <c r="A5" s="11" t="inlineStr">
        <is>
          <t>CP-001</t>
        </is>
      </c>
      <c r="B5" s="11" t="inlineStr">
        <is>
          <t>Create specs</t>
        </is>
      </c>
      <c r="C5" s="11" t="inlineStr">
        <is>
          <t>This is a brand-new HOMIZI project with no code. Read this workbook's dashboard, execution pipeline, decisions, modules, screens, data model, security, tests and store release sheets. Create docs/PRODUCT_SPEC.md, TECH_STACK.md, DATA_MODEL.md, SECURITY_AND_PRIVACY.md, RELEASE_PLAN.md and DECISIONS.md. Preserve requirements; mark undecided choices as pending. Do not build app yet. Report open questions and wait for my approval.</t>
        </is>
      </c>
      <c r="D5" s="11" t="inlineStr">
        <is>
          <t>Q-001 scope/specification</t>
        </is>
      </c>
    </row>
    <row r="6">
      <c r="A6" s="16" t="inlineStr">
        <is>
          <t>CP-002</t>
        </is>
      </c>
      <c r="B6" s="16" t="inlineStr">
        <is>
          <t>Environment baseline</t>
        </is>
      </c>
      <c r="C6" s="16" t="inlineStr">
        <is>
          <t>Check flutter --version, flutter doctor, git --version and flutter devices. Report exact output and blockers. Do not claim iOS builds work on Windows. Do not install system tools or change global settings without explaining first.</t>
        </is>
      </c>
      <c r="D6" s="16" t="inlineStr">
        <is>
          <t>Q-002 setup</t>
        </is>
      </c>
    </row>
    <row r="7">
      <c r="A7" s="11" t="inlineStr">
        <is>
          <t>CP-003</t>
        </is>
      </c>
      <c r="B7" s="11" t="inlineStr">
        <is>
          <t>Flutter baseline</t>
        </is>
      </c>
      <c r="C7" s="11" t="inlineStr">
        <is>
          <t>Create a Flutter app targeting Android and iOS with the approved package ID, a simple HOMIZI home screen, feature-first structure, linting and one widget test. Run dart format, flutter analyze, flutter test and Android debug build. Fix failures; report exact commands and results.</t>
        </is>
      </c>
      <c r="D7" s="11" t="inlineStr">
        <is>
          <t>E-004/E-005</t>
        </is>
      </c>
    </row>
    <row r="8">
      <c r="A8" s="16" t="inlineStr">
        <is>
          <t>CP-004</t>
        </is>
      </c>
      <c r="B8" s="16" t="inlineStr">
        <is>
          <t>Backend security</t>
        </is>
      </c>
      <c r="C8" s="16" t="inlineStr">
        <is>
          <t>Implement only approved development schema/policies. Add negative tests for cross-user access and private contact fields. Keep migrations versioned. Never place privileged keys in the app. Stop if backend provider or region is unapproved.</t>
        </is>
      </c>
      <c r="D8" s="16" t="inlineStr">
        <is>
          <t>E-009/E-010</t>
        </is>
      </c>
    </row>
    <row r="9">
      <c r="A9" s="11" t="inlineStr">
        <is>
          <t>CP-005</t>
        </is>
      </c>
      <c r="B9" s="11" t="inlineStr">
        <is>
          <t>One task template</t>
        </is>
      </c>
      <c r="C9" s="11" t="inlineStr">
        <is>
          <t>Implement only [STEP ID + WORK PACKAGE] from EXECUTION_PIPELINE. Before coding, summarize dependencies and acceptance criteria. Make real repository changes, run formatting/analyzer/tests/build as relevant, fix failures, update docs and report changed files, actual commands/results, blockers and next task. Mark Done only if criteria pass.</t>
        </is>
      </c>
      <c r="D9" s="11" t="inlineStr">
        <is>
          <t>Use for each approved step</t>
        </is>
      </c>
    </row>
    <row r="10">
      <c r="A10" s="16" t="inlineStr">
        <is>
          <t>CP-006</t>
        </is>
      </c>
      <c r="B10" s="16" t="inlineStr">
        <is>
          <t>Phone APK</t>
        </is>
      </c>
      <c r="C10" s="16" t="inlineStr">
        <is>
          <t>Verify package ID and current build. Run tests, then build debug APK using flutter build apk --debug. Give exact artifact path and steps to install on my Android phone. If Firebase App Distribution is configured, upload only if authorized and provide actual release link; otherwise give manual setup steps. Do not claim distribution succeeded without proof.</t>
        </is>
      </c>
      <c r="D10" s="16" t="inlineStr">
        <is>
          <t>E-006/E-028</t>
        </is>
      </c>
    </row>
    <row r="11">
      <c r="A11" s="11" t="inlineStr">
        <is>
          <t>CP-007</t>
        </is>
      </c>
      <c r="B11" s="11" t="inlineStr">
        <is>
          <t>CI distribution</t>
        </is>
      </c>
      <c r="C11" s="11" t="inlineStr">
        <is>
          <t>Set up GitHub Actions to run format/analyze/tests on pull requests and build/distribute a test APK only from an approved branch/tag. Use repository secrets; fail safely if missing; never print secrets. Do not deploy production from arbitrary commits.</t>
        </is>
      </c>
      <c r="D11" s="11" t="inlineStr">
        <is>
          <t>E-029</t>
        </is>
      </c>
    </row>
    <row r="12">
      <c r="A12" s="16" t="inlineStr">
        <is>
          <t>CP-008</t>
        </is>
      </c>
      <c r="B12" s="16" t="inlineStr">
        <is>
          <t>Release audit</t>
        </is>
      </c>
      <c r="C12" s="16" t="inlineStr">
        <is>
          <t>Audit every TEST_PLAN, SECURITY_PRIVACY and STORE_RELEASE item as Pass/Fail/Not tested with evidence. Run available checks. Do not infer pass from missing evidence. List blockers and fixes. Do not submit/publish without explicit owner approval.</t>
        </is>
      </c>
      <c r="D12" s="16" t="inlineStr">
        <is>
          <t>E-035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D$12"/>
  <mergeCells count="2">
    <mergeCell ref="A1:D1"/>
    <mergeCell ref="A2:D2"/>
  </mergeCell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E1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9" min="1" max="1"/>
    <col width="30" customWidth="1" style="19" min="2" max="2"/>
    <col width="72" customWidth="1" style="19" min="3" max="3"/>
    <col width="55" customWidth="1" style="19" min="4" max="4"/>
    <col width="24" customWidth="1" style="19" min="5" max="5"/>
    <col width="8.710000000000001" customWidth="1" style="19" min="6" max="26"/>
  </cols>
  <sheetData>
    <row r="1" ht="31.5" customHeight="1" s="19">
      <c r="A1" s="20" t="inlineStr">
        <is>
          <t>Phone Live Updates</t>
        </is>
      </c>
    </row>
    <row r="2" ht="33.75" customHeight="1" s="19">
      <c r="A2" s="4" t="inlineStr">
        <is>
          <t>Three different update types: local development, app binary updates, and backend/content updates. Configure each deliberately.</t>
        </is>
      </c>
    </row>
    <row r="4">
      <c r="A4" s="10" t="inlineStr">
        <is>
          <t>ID</t>
        </is>
      </c>
      <c r="B4" s="10" t="inlineStr">
        <is>
          <t>Goal</t>
        </is>
      </c>
      <c r="C4" s="10" t="inlineStr">
        <is>
          <t>Steps</t>
        </is>
      </c>
      <c r="D4" s="10" t="inlineStr">
        <is>
          <t>Success condition</t>
        </is>
      </c>
      <c r="E4" s="10" t="inlineStr">
        <is>
          <t>Channel</t>
        </is>
      </c>
    </row>
    <row r="5">
      <c r="A5" s="11" t="inlineStr">
        <is>
          <t>L-01</t>
        </is>
      </c>
      <c r="B5" s="11" t="inlineStr">
        <is>
          <t>Immediate local install</t>
        </is>
      </c>
      <c r="C5" s="11" t="inlineStr">
        <is>
          <t>Enable Developer options and USB debugging on Android. Connect USB; accept trust prompt. In Cursor terminal run flutter devices, then flutter run -d &lt;deviceId&gt;.</t>
        </is>
      </c>
      <c r="D5" s="11" t="inlineStr">
        <is>
          <t>HOMIZI starter app launches on the physical phone with logs available.</t>
        </is>
      </c>
      <c r="E5" s="11" t="inlineStr">
        <is>
          <t>Local debug</t>
        </is>
      </c>
    </row>
    <row r="6">
      <c r="A6" s="16" t="inlineStr">
        <is>
          <t>L-02</t>
        </is>
      </c>
      <c r="B6" s="16" t="inlineStr">
        <is>
          <t>APK without USB</t>
        </is>
      </c>
      <c r="C6" s="16" t="inlineStr">
        <is>
          <t>Run flutter build apk --debug. Transfer build/app/outputs/flutter-apk/app-debug.apk to phone; open it and allow installation from that source if prompted.</t>
        </is>
      </c>
      <c r="D6" s="16" t="inlineStr">
        <is>
          <t>APK installs. For subsequent upgrades, keep same application ID and signing key.</t>
        </is>
      </c>
      <c r="E6" s="16" t="inlineStr">
        <is>
          <t>Manual APK</t>
        </is>
      </c>
    </row>
    <row r="7">
      <c r="A7" s="11" t="inlineStr">
        <is>
          <t>L-03</t>
        </is>
      </c>
      <c r="B7" s="11" t="inlineStr">
        <is>
          <t>Repeatable tester install</t>
        </is>
      </c>
      <c r="C7" s="11" t="inlineStr">
        <is>
          <t>Create Firebase project and register Android app using exact package name. Invite your tester email. Upload APK in Firebase App Distribution console or via CLI; share the release link/invitation.</t>
        </is>
      </c>
      <c r="D7" s="11" t="inlineStr">
        <is>
          <t>Phone can install releases and see notes/version; test releases are available for limited time per Firebase rules.</t>
        </is>
      </c>
      <c r="E7" s="11" t="inlineStr">
        <is>
          <t>Firebase App Distribution</t>
        </is>
      </c>
    </row>
    <row r="8">
      <c r="A8" s="16" t="inlineStr">
        <is>
          <t>L-04</t>
        </is>
      </c>
      <c r="B8" s="16" t="inlineStr">
        <is>
          <t>Automatic build distribution</t>
        </is>
      </c>
      <c r="C8" s="16" t="inlineStr">
        <is>
          <t>Configure GitHub Actions: run tests → build APK → upload to Firebase only on approved branch/tag → publish release notes/link. Store tokens in repository secrets.</t>
        </is>
      </c>
      <c r="D8" s="16" t="inlineStr">
        <is>
          <t>Each approved commit/tag yields a traceable test build; failures notify rather than silently publish.</t>
        </is>
      </c>
      <c r="E8" s="16" t="inlineStr">
        <is>
          <t>GitHub Actions + Firebase</t>
        </is>
      </c>
    </row>
    <row r="9">
      <c r="A9" s="11" t="inlineStr">
        <is>
          <t>L-05</t>
        </is>
      </c>
      <c r="B9" s="11" t="inlineStr">
        <is>
          <t>Live data/backend</t>
        </is>
      </c>
      <c r="C9" s="11" t="inlineStr">
        <is>
          <t>Deploy approved backend migrations/functions and have the app fetch data from the backend. Use compatible API/schema changes and a rollback plan.</t>
        </is>
      </c>
      <c r="D9" s="11" t="inlineStr">
        <is>
          <t>Content/server-side updates appear without reinstall when installed client supports them.</t>
        </is>
      </c>
      <c r="E9" s="11" t="inlineStr">
        <is>
          <t>Backend deployment</t>
        </is>
      </c>
    </row>
    <row r="10">
      <c r="A10" s="16" t="inlineStr">
        <is>
          <t>L-06</t>
        </is>
      </c>
      <c r="B10" s="16" t="inlineStr">
        <is>
          <t>UI/code changes</t>
        </is>
      </c>
      <c r="C10" s="16" t="inlineStr">
        <is>
          <t>For Flutter UI/native code changes, create a new build and install via Firebase or Play testing. Do not assume silent hot updates. Evaluate any OTA product only after policy/security review.</t>
        </is>
      </c>
      <c r="D10" s="16" t="inlineStr">
        <is>
          <t>New app code is installed as a new build.</t>
        </is>
      </c>
      <c r="E10" s="16" t="inlineStr">
        <is>
          <t>New binary</t>
        </is>
      </c>
    </row>
    <row r="11">
      <c r="A11" s="11" t="inlineStr">
        <is>
          <t>L-07</t>
        </is>
      </c>
      <c r="B11" s="11" t="inlineStr">
        <is>
          <t>Play internal testing</t>
        </is>
      </c>
      <c r="C11" s="11" t="inlineStr">
        <is>
          <t>Upload signed AAB in Play Console internal testing, add testers and share opt-in link. Test install/update through Google Play.</t>
        </is>
      </c>
      <c r="D11" s="11" t="inlineStr">
        <is>
          <t>Validates Play signing and Play update flow.</t>
        </is>
      </c>
      <c r="E11" s="11" t="inlineStr">
        <is>
          <t>Play Console</t>
        </is>
      </c>
    </row>
    <row r="12">
      <c r="A12" s="16" t="inlineStr">
        <is>
          <t>L-08</t>
        </is>
      </c>
      <c r="B12" s="16" t="inlineStr">
        <is>
          <t>Production</t>
        </is>
      </c>
      <c r="C12" s="16" t="inlineStr">
        <is>
          <t>After all gates, submit signed AAB, complete declarations, answer review questions and release with staged rollout if available.</t>
        </is>
      </c>
      <c r="D12" s="16" t="inlineStr">
        <is>
          <t>Public Play listing is approved and live.</t>
        </is>
      </c>
      <c r="E12" s="16" t="inlineStr">
        <is>
          <t>Google Play</t>
        </is>
      </c>
    </row>
    <row r="13">
      <c r="A13" s="11" t="inlineStr">
        <is>
          <t>L-09</t>
        </is>
      </c>
      <c r="B13" s="11" t="inlineStr">
        <is>
          <t>iOS testing</t>
        </is>
      </c>
      <c r="C13" s="11" t="inlineStr">
        <is>
          <t>Build on macOS/Xcode or macOS CI, configure signing and distribute through TestFlight. Each build is uploaded and tested under Apple's process.</t>
        </is>
      </c>
      <c r="D13" s="11" t="inlineStr">
        <is>
          <t>iPhone tester installs via TestFlight.</t>
        </is>
      </c>
      <c r="E13" s="11" t="inlineStr">
        <is>
          <t>TestFlight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E$13"/>
  <mergeCells count="2">
    <mergeCell ref="A2:E2"/>
    <mergeCell ref="A1:E1"/>
  </mergeCell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F14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2" customWidth="1" style="19" min="1" max="1"/>
    <col width="30" customWidth="1" style="19" min="2" max="2"/>
    <col width="54" customWidth="1" style="19" min="3" max="3"/>
    <col width="44" customWidth="1" style="19" min="4" max="4"/>
    <col width="20" customWidth="1" style="19" min="5" max="5"/>
    <col width="26" customWidth="1" style="19" min="6" max="6"/>
    <col width="8.710000000000001" customWidth="1" style="19" min="7" max="26"/>
  </cols>
  <sheetData>
    <row r="1" ht="31.5" customHeight="1" s="19">
      <c r="A1" s="20" t="inlineStr">
        <is>
          <t>Decisions</t>
        </is>
      </c>
    </row>
    <row r="2" ht="33.75" customHeight="1" s="19">
      <c r="A2" s="4" t="inlineStr">
        <is>
          <t>Fill and approve these before the related implementation. Proposed values are not final approval.</t>
        </is>
      </c>
    </row>
    <row r="4">
      <c r="A4" s="10" t="inlineStr">
        <is>
          <t>ID</t>
        </is>
      </c>
      <c r="B4" s="10" t="inlineStr">
        <is>
          <t>Decision</t>
        </is>
      </c>
      <c r="C4" s="10" t="inlineStr">
        <is>
          <t>Recommended default</t>
        </is>
      </c>
      <c r="D4" s="10" t="inlineStr">
        <is>
          <t>Alternative / note</t>
        </is>
      </c>
      <c r="E4" s="10" t="inlineStr">
        <is>
          <t>Status</t>
        </is>
      </c>
      <c r="F4" s="10" t="inlineStr">
        <is>
          <t>Approver</t>
        </is>
      </c>
    </row>
    <row r="5">
      <c r="A5" s="11" t="inlineStr">
        <is>
          <t>D-01</t>
        </is>
      </c>
      <c r="B5" s="11" t="inlineStr">
        <is>
          <t>Framework</t>
        </is>
      </c>
      <c r="C5" s="11" t="inlineStr">
        <is>
          <t>Flutter + Dart for one shared iOS/Android codebase.</t>
        </is>
      </c>
      <c r="D5" s="11" t="inlineStr">
        <is>
          <t>React Native if team chooses TypeScript stack. 17 Oct 2026: owner deep confirmed Flutter. Evidence: pubspec.yaml, lib/, android/, ios/.</t>
        </is>
      </c>
      <c r="E5" s="11" t="inlineStr">
        <is>
          <t>Approved</t>
        </is>
      </c>
      <c r="F5" s="11" t="inlineStr">
        <is>
          <t>Owner</t>
        </is>
      </c>
    </row>
    <row r="6">
      <c r="A6" s="16" t="inlineStr">
        <is>
          <t>D-02</t>
        </is>
      </c>
      <c r="B6" s="16" t="inlineStr">
        <is>
          <t>Backend</t>
        </is>
      </c>
      <c r="C6" s="16" t="inlineStr">
        <is>
          <t>Supabase/PostgreSQL proposed for relational listings, auth, storage and row-level security.</t>
        </is>
      </c>
      <c r="D6" s="16" t="inlineStr">
        <is>
          <t>Firebase/custom backend after review. 17 Oct 2026: Supabase approved. Mumbai staging loraalfiuklespaldotd is live (GoTrue v2.197.0). Production project stays deferred under D-08.</t>
        </is>
      </c>
      <c r="E6" s="16" t="inlineStr">
        <is>
          <t>Approved</t>
        </is>
      </c>
      <c r="F6" s="16" t="inlineStr">
        <is>
          <t>Owner + security</t>
        </is>
      </c>
    </row>
    <row r="7">
      <c r="A7" s="11" t="inlineStr">
        <is>
          <t>D-03</t>
        </is>
      </c>
      <c r="B7" s="11" t="inlineStr">
        <is>
          <t>Launch scope</t>
        </is>
      </c>
      <c r="C7" s="11" t="inlineStr">
        <is>
          <t>Android-first installable MVP; maintain iOS compatibility; defer optional features.</t>
        </is>
      </c>
      <c r="D7" s="11" t="inlineStr">
        <is>
          <t>Ship broader scope only if owner approves timeline. 17 Oct 2026: Android first. iOS project stays. Payments, real ID, push, production Supabase, and store submission are deferred.</t>
        </is>
      </c>
      <c r="E7" s="11" t="inlineStr">
        <is>
          <t>Approved</t>
        </is>
      </c>
      <c r="F7" s="11" t="inlineStr">
        <is>
          <t>Owner</t>
        </is>
      </c>
    </row>
    <row r="8">
      <c r="A8" s="16" t="inlineStr">
        <is>
          <t>D-04</t>
        </is>
      </c>
      <c r="B8" s="16" t="inlineStr">
        <is>
          <t>Verification</t>
        </is>
      </c>
      <c r="C8" s="16" t="inlineStr">
        <is>
          <t>Mock verification status in dev; select compliant provider only after privacy/legal review.</t>
        </is>
      </c>
      <c r="D8" s="16" t="inlineStr">
        <is>
          <t>Provider decision must include retention and data-flow. 17 Oct 2026: explicit deferral. Mock verification only. No Aadhaar column. Provider, lawful basis, and retention are pending.</t>
        </is>
      </c>
      <c r="E8" s="16" t="inlineStr">
        <is>
          <t>Deferred</t>
        </is>
      </c>
      <c r="F8" s="16" t="inlineStr">
        <is>
          <t>Legal/security</t>
        </is>
      </c>
    </row>
    <row r="9">
      <c r="A9" s="11" t="inlineStr">
        <is>
          <t>D-05</t>
        </is>
      </c>
      <c r="B9" s="11" t="inlineStr">
        <is>
          <t>Contact privacy</t>
        </is>
      </c>
      <c r="C9" s="11" t="inlineStr">
        <is>
          <t>Contact returned only through server authorization after explicit approved conditions.</t>
        </is>
      </c>
      <c r="D9" s="11" t="inlineStr">
        <is>
          <t>Owner must define exact mutual-match/consent rules. 12 Oct 2026 PD-04 and PD-08, restated 17 Oct 2026. Contact only via get_contact_visibility after match and consent. Chat blocks phone and email.</t>
        </is>
      </c>
      <c r="E9" s="11" t="inlineStr">
        <is>
          <t>Approved</t>
        </is>
      </c>
      <c r="F9" s="11" t="inlineStr">
        <is>
          <t>Owner + security</t>
        </is>
      </c>
    </row>
    <row r="10">
      <c r="A10" s="16" t="inlineStr">
        <is>
          <t>D-06</t>
        </is>
      </c>
      <c r="B10" s="16" t="inlineStr">
        <is>
          <t>Payments</t>
        </is>
      </c>
      <c r="C10" s="16" t="inlineStr">
        <is>
          <t>Defer real payments until policy, finance and gateway review.</t>
        </is>
      </c>
      <c r="D10" s="16" t="inlineStr">
        <is>
          <t>Include only if essential to MVP. 17 Oct 2026: real payments deferred. No checkout. Clients cannot write payments or subscriptions.</t>
        </is>
      </c>
      <c r="E10" s="16" t="inlineStr">
        <is>
          <t>Deferred</t>
        </is>
      </c>
      <c r="F10" s="16" t="inlineStr">
        <is>
          <t>Owner + finance</t>
        </is>
      </c>
    </row>
    <row r="11">
      <c r="A11" s="11" t="inlineStr">
        <is>
          <t>D-07</t>
        </is>
      </c>
      <c r="B11" s="11" t="inlineStr">
        <is>
          <t>Package ID</t>
        </is>
      </c>
      <c r="C11" s="11" t="inlineStr">
        <is>
          <t>Choose permanent reverse-domain Android applicationId and iOS bundle identifier.</t>
        </is>
      </c>
      <c r="D11" s="11" t="inlineStr">
        <is>
          <t>Do not casually change after release. Application id and iOS bundle id in.homizi.app. Android namespace app.homizi. android/app/build.gradle.kts commit 3f096e4.</t>
        </is>
      </c>
      <c r="E11" s="11" t="inlineStr">
        <is>
          <t>Approved</t>
        </is>
      </c>
      <c r="F11" s="11" t="inlineStr">
        <is>
          <t>Owner</t>
        </is>
      </c>
    </row>
    <row r="12">
      <c r="A12" s="16" t="inlineStr">
        <is>
          <t>D-08</t>
        </is>
      </c>
      <c r="B12" s="16" t="inlineStr">
        <is>
          <t>Production region</t>
        </is>
      </c>
      <c r="C12" s="16" t="inlineStr">
        <is>
          <t>Choose backend region after latency, privacy and contractual review.</t>
        </is>
      </c>
      <c r="D12" s="16" t="inlineStr">
        <is>
          <t>Do not assume provider default is suitable. Mumbai is the staging project only. Production region is not approved.</t>
        </is>
      </c>
      <c r="E12" s="16" t="inlineStr">
        <is>
          <t>Pending</t>
        </is>
      </c>
      <c r="F12" s="16" t="inlineStr">
        <is>
          <t>Owner + privacy</t>
        </is>
      </c>
    </row>
    <row r="13">
      <c r="A13" s="11" t="inlineStr">
        <is>
          <t>D-09</t>
        </is>
      </c>
      <c r="B13" s="11" t="inlineStr">
        <is>
          <t>Store account type</t>
        </is>
      </c>
      <c r="C13" s="11" t="inlineStr">
        <is>
          <t>Confirm Apple/Google account owner and whether Play account is personal or organization.</t>
        </is>
      </c>
      <c r="D13" s="11" t="inlineStr">
        <is>
          <t>Account type affects verification/testing steps. Play Console is at the end. Personal versus organization account is unset, and that choice changes the 12-tester rule.</t>
        </is>
      </c>
      <c r="E13" s="11" t="inlineStr">
        <is>
          <t>Pending</t>
        </is>
      </c>
      <c r="F13" s="11" t="inlineStr">
        <is>
          <t>Owner</t>
        </is>
      </c>
    </row>
    <row r="14">
      <c r="A14" s="16" t="inlineStr">
        <is>
          <t>D-10</t>
        </is>
      </c>
      <c r="B14" s="16" t="inlineStr">
        <is>
          <t>Moderation</t>
        </is>
      </c>
      <c r="C14" s="16" t="inlineStr">
        <is>
          <t>Assign who reviews reports and expected response process before public launch.</t>
        </is>
      </c>
      <c r="D14" s="16" t="inlineStr">
        <is>
          <t>Do not launch open marketplace without operations plan. 17 Oct 2026: owner deep is the interim moderator. Process: docs/ops/MODERATION_SOP.md. staff_roles has no row yet. Public-launch roster is still pending.</t>
        </is>
      </c>
      <c r="E14" s="16" t="inlineStr">
        <is>
          <t>Interim</t>
        </is>
      </c>
      <c r="F14" s="16" t="inlineStr">
        <is>
          <t>Owner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F$14"/>
  <mergeCells count="2">
    <mergeCell ref="A2:F2"/>
    <mergeCell ref="A1:F1"/>
  </mergeCells>
  <dataValidations count="1">
    <dataValidation sqref="E5:E14" showDropDown="0" showInputMessage="0" showErrorMessage="0" allowBlank="1" type="list">
      <formula1>"Proposed,Approved,Rejected,Pending,Not selected,Review required"</formula1>
    </dataValidation>
  </dataValidation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F15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" customWidth="1" style="19" min="1" max="1"/>
    <col width="34" customWidth="1" style="19" min="2" max="2"/>
    <col width="70" customWidth="1" style="19" min="3" max="3"/>
    <col width="18" customWidth="1" style="19" min="4" max="4"/>
    <col width="22" customWidth="1" style="19" min="5" max="5"/>
    <col width="42" customWidth="1" style="19" min="6" max="6"/>
    <col width="8.710000000000001" customWidth="1" style="19" min="7" max="26"/>
  </cols>
  <sheetData>
    <row r="1" ht="31.5" customHeight="1" s="19">
      <c r="A1" s="20" t="inlineStr">
        <is>
          <t>Playstore Checklist</t>
        </is>
      </c>
    </row>
    <row r="2" ht="33.75" customHeight="1" s="19">
      <c r="A2" s="4" t="inlineStr">
        <is>
          <t>Store release checklist; verify current official rules when preparing submission.</t>
        </is>
      </c>
    </row>
    <row r="4">
      <c r="A4" s="10" t="inlineStr">
        <is>
          <t>ID</t>
        </is>
      </c>
      <c r="B4" s="10" t="inlineStr">
        <is>
          <t>Checklist</t>
        </is>
      </c>
      <c r="C4" s="10" t="inlineStr">
        <is>
          <t>Acceptance criteria</t>
        </is>
      </c>
      <c r="D4" s="10" t="inlineStr">
        <is>
          <t>Owner</t>
        </is>
      </c>
      <c r="E4" s="10" t="inlineStr">
        <is>
          <t>Status</t>
        </is>
      </c>
      <c r="F4" s="10" t="inlineStr">
        <is>
          <t>Notes</t>
        </is>
      </c>
    </row>
    <row r="5">
      <c r="A5" s="11" t="inlineStr">
        <is>
          <t>R-01</t>
        </is>
      </c>
      <c r="B5" s="11" t="inlineStr">
        <is>
          <t>Account setup</t>
        </is>
      </c>
      <c r="C5" s="11" t="inlineStr">
        <is>
          <t>Create/verify Google Play Console account and app record.</t>
        </is>
      </c>
      <c r="D5" s="11" t="inlineStr">
        <is>
          <t>Owner</t>
        </is>
      </c>
      <c r="E5" s="11" t="inlineStr">
        <is>
          <t>Blocked</t>
        </is>
      </c>
      <c r="F5" s="11" t="inlineStr">
        <is>
          <t>No Play Console account in the repo. Deferred to the end.</t>
        </is>
      </c>
    </row>
    <row r="6">
      <c r="A6" s="16" t="inlineStr">
        <is>
          <t>R-02</t>
        </is>
      </c>
      <c r="B6" s="16" t="inlineStr">
        <is>
          <t>Package and signing</t>
        </is>
      </c>
      <c r="C6" s="16" t="inlineStr">
        <is>
          <t>Choose stable package name; configure upload key/app signing securely; do not commit keys.</t>
        </is>
      </c>
      <c r="D6" s="16" t="inlineStr">
        <is>
          <t>Owner + Cursor</t>
        </is>
      </c>
      <c r="E6" s="16" t="inlineStr">
        <is>
          <t>In progress</t>
        </is>
      </c>
      <c r="F6" s="16" t="inlineStr">
        <is>
          <t>Id `in.homizi.app` is set. Upload key is not. Release uses the debug signing config.</t>
        </is>
      </c>
    </row>
    <row r="7">
      <c r="A7" s="11" t="inlineStr">
        <is>
          <t>R-03</t>
        </is>
      </c>
      <c r="B7" s="11" t="inlineStr">
        <is>
          <t>Target SDK</t>
        </is>
      </c>
      <c r="C7" s="11" t="inlineStr">
        <is>
          <t>Check current Play target API policy; as of official policy page checked Oct 2026, new apps/updates target API 36+ from Aug 31 2026, subject to exceptions/extensions.</t>
        </is>
      </c>
      <c r="D7" s="11" t="inlineStr">
        <is>
          <t>Cursor + owner</t>
        </is>
      </c>
      <c r="E7" s="11" t="inlineStr">
        <is>
          <t>In progress</t>
        </is>
      </c>
      <c r="F7" s="11" t="inlineStr">
        <is>
          <t>Flutter 3.47.7 defaults target and compile SDK to 36. Not verified on a built app bundle. Recheck at submission.</t>
        </is>
      </c>
    </row>
    <row r="8">
      <c r="A8" s="16" t="inlineStr">
        <is>
          <t>R-04</t>
        </is>
      </c>
      <c r="B8" s="16" t="inlineStr">
        <is>
          <t>Release artifact</t>
        </is>
      </c>
      <c r="C8" s="16" t="inlineStr">
        <is>
          <t>Run tests and build signed release AAB using flutter build appbundle.</t>
        </is>
      </c>
      <c r="D8" s="16" t="inlineStr">
        <is>
          <t>Cursor</t>
        </is>
      </c>
      <c r="E8" s="16" t="inlineStr">
        <is>
          <t>Not started</t>
        </is>
      </c>
      <c r="F8" s="16" t="inlineStr">
        <is>
          <t>No `flutter build appbundle` artifact.</t>
        </is>
      </c>
    </row>
    <row r="9">
      <c r="A9" s="11" t="inlineStr">
        <is>
          <t>R-05</t>
        </is>
      </c>
      <c r="B9" s="11" t="inlineStr">
        <is>
          <t>Store listing</t>
        </is>
      </c>
      <c r="C9" s="11" t="inlineStr">
        <is>
          <t>Icon, screenshots, description, category, contact/support details.</t>
        </is>
      </c>
      <c r="D9" s="11" t="inlineStr">
        <is>
          <t>Owner + Cursor</t>
        </is>
      </c>
      <c r="E9" s="11" t="inlineStr">
        <is>
          <t>In progress</t>
        </is>
      </c>
      <c r="F9" s="11" t="inlineStr">
        <is>
          <t>`docs/STORE_LISTING.md` draft only.</t>
        </is>
      </c>
    </row>
    <row r="10">
      <c r="A10" s="16" t="inlineStr">
        <is>
          <t>R-06</t>
        </is>
      </c>
      <c r="B10" s="16" t="inlineStr">
        <is>
          <t>Privacy and safety</t>
        </is>
      </c>
      <c r="C10" s="16" t="inlineStr">
        <is>
          <t>Publish privacy policy, terms, support/safety page, account deletion flow and accurate data declarations.</t>
        </is>
      </c>
      <c r="D10" s="16" t="inlineStr">
        <is>
          <t>Owner + reviewer</t>
        </is>
      </c>
      <c r="E10" s="16" t="inlineStr">
        <is>
          <t>Review required</t>
        </is>
      </c>
      <c r="F10" s="16" t="inlineStr">
        <is>
          <t>Legal drafts. `legal_draft_test.dart` passed.</t>
        </is>
      </c>
    </row>
    <row r="11">
      <c r="A11" s="11" t="inlineStr">
        <is>
          <t>R-07</t>
        </is>
      </c>
      <c r="B11" s="11" t="inlineStr">
        <is>
          <t>Testing track</t>
        </is>
      </c>
      <c r="C11" s="11" t="inlineStr">
        <is>
          <t>Internal testing, then closed testing if applicable; capture tester feedback and fix issues.</t>
        </is>
      </c>
      <c r="D11" s="11" t="inlineStr">
        <is>
          <t>Owner + testers</t>
        </is>
      </c>
      <c r="E11" s="11" t="inlineStr">
        <is>
          <t>Not started</t>
        </is>
      </c>
      <c r="F11" s="11" t="inlineStr">
        <is>
          <t>No testing track.</t>
        </is>
      </c>
    </row>
    <row r="12">
      <c r="A12" s="16" t="inlineStr">
        <is>
          <t>R-08</t>
        </is>
      </c>
      <c r="B12" s="16" t="inlineStr">
        <is>
          <t>Final QA</t>
        </is>
      </c>
      <c r="C12" s="16" t="inlineStr">
        <is>
          <t>Physical-device tests, crash/permission checks, backend authorization and no critical/high defects.</t>
        </is>
      </c>
      <c r="D12" s="16" t="inlineStr">
        <is>
          <t>Cursor + reviewer</t>
        </is>
      </c>
      <c r="E12" s="16" t="inlineStr">
        <is>
          <t>Not started</t>
        </is>
      </c>
      <c r="F12" s="16" t="inlineStr">
        <is>
          <t>No physical-device QA log.</t>
        </is>
      </c>
    </row>
    <row r="13">
      <c r="A13" s="11" t="inlineStr">
        <is>
          <t>R-09</t>
        </is>
      </c>
      <c r="B13" s="11" t="inlineStr">
        <is>
          <t>Go/no-go</t>
        </is>
      </c>
      <c r="C13" s="11" t="inlineStr">
        <is>
          <t>Owner explicitly approves exact artifact, version, declarations and rollout.</t>
        </is>
      </c>
      <c r="D13" s="11" t="inlineStr">
        <is>
          <t>Owner</t>
        </is>
      </c>
      <c r="E13" s="11" t="inlineStr">
        <is>
          <t>Not started</t>
        </is>
      </c>
      <c r="F13" s="11" t="inlineStr">
        <is>
          <t>No owner sign-off on an artifact.</t>
        </is>
      </c>
    </row>
    <row r="14">
      <c r="A14" s="16" t="inlineStr">
        <is>
          <t>R-10</t>
        </is>
      </c>
      <c r="B14" s="16" t="inlineStr">
        <is>
          <t>Submit/release</t>
        </is>
      </c>
      <c r="C14" s="16" t="inlineStr">
        <is>
          <t>Submit in Play Console; answer review questions; monitor review and staged rollout.</t>
        </is>
      </c>
      <c r="D14" s="16" t="inlineStr">
        <is>
          <t>Owner</t>
        </is>
      </c>
      <c r="E14" s="16" t="inlineStr">
        <is>
          <t>Blocked</t>
        </is>
      </c>
      <c r="F14" s="16" t="inlineStr">
        <is>
          <t>Submission deferred.</t>
        </is>
      </c>
    </row>
    <row r="15">
      <c r="A15" s="11" t="inlineStr">
        <is>
          <t>R-11</t>
        </is>
      </c>
      <c r="B15" s="11" t="inlineStr">
        <is>
          <t>Operations</t>
        </is>
      </c>
      <c r="C15" s="11" t="inlineStr">
        <is>
          <t>Monitor crashes, reports, support, costs, auth and backend health; define rollback/hotfix process.</t>
        </is>
      </c>
      <c r="D15" s="11" t="inlineStr">
        <is>
          <t>Owner + Cursor</t>
        </is>
      </c>
      <c r="E15" s="11" t="inlineStr">
        <is>
          <t>In progress</t>
        </is>
      </c>
      <c r="F15" s="11" t="inlineStr">
        <is>
          <t>Runbook written. Crash monitoring is off without a DSN.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F$15"/>
  <mergeCells count="2">
    <mergeCell ref="A2:F2"/>
    <mergeCell ref="A1:F1"/>
  </mergeCells>
  <dataValidations count="1">
    <dataValidation sqref="E5:E15" showDropDown="0" showInputMessage="0" showErrorMessage="0" allowBlank="1" type="list">
      <formula1>"Not started,In progress,Blocked,Review required,Done"</formula1>
    </dataValidation>
  </dataValidation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E15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" customWidth="1" style="19" min="1" max="1"/>
    <col width="32" customWidth="1" style="19" min="2" max="2"/>
    <col width="68" customWidth="1" style="19" min="3" max="3"/>
    <col width="20" customWidth="1" style="19" min="4" max="4"/>
    <col width="40" customWidth="1" style="19" min="5" max="5"/>
    <col width="8.710000000000001" customWidth="1" style="19" min="6" max="26"/>
  </cols>
  <sheetData>
    <row r="1" ht="31.5" customHeight="1" s="19">
      <c r="A1" s="20" t="inlineStr">
        <is>
          <t>Security Gates</t>
        </is>
      </c>
    </row>
    <row r="2" ht="33.75" customHeight="1" s="19">
      <c r="A2" s="4" t="inlineStr">
        <is>
          <t>Do not release until critical security/privacy checks have evidence.</t>
        </is>
      </c>
    </row>
    <row r="4">
      <c r="A4" s="10" t="inlineStr">
        <is>
          <t>ID</t>
        </is>
      </c>
      <c r="B4" s="10" t="inlineStr">
        <is>
          <t>Gate</t>
        </is>
      </c>
      <c r="C4" s="10" t="inlineStr">
        <is>
          <t>Acceptance criteria</t>
        </is>
      </c>
      <c r="D4" s="10" t="inlineStr">
        <is>
          <t>Status</t>
        </is>
      </c>
      <c r="E4" s="10" t="inlineStr">
        <is>
          <t>Evidence</t>
        </is>
      </c>
    </row>
    <row r="5">
      <c r="A5" s="11" t="inlineStr">
        <is>
          <t>S-01</t>
        </is>
      </c>
      <c r="B5" s="11" t="inlineStr">
        <is>
          <t>Secrets</t>
        </is>
      </c>
      <c r="C5" s="11" t="inlineStr">
        <is>
          <t>No API secrets, service-role keys, tokens or signing keys committed or embedded in mobile app.</t>
        </is>
      </c>
      <c r="D5" s="11" t="inlineStr">
        <is>
          <t>Done</t>
        </is>
      </c>
      <c r="E5" s="11" t="inlineStr">
        <is>
          <t>Secret scan passed. See `docs/security/AUDIT_1017.md`.</t>
        </is>
      </c>
    </row>
    <row r="6">
      <c r="A6" s="16" t="inlineStr">
        <is>
          <t>S-02</t>
        </is>
      </c>
      <c r="B6" s="16" t="inlineStr">
        <is>
          <t>Authorization</t>
        </is>
      </c>
      <c r="C6" s="16" t="inlineStr">
        <is>
          <t>Test cross-user read/write denial for profiles, listings, matches, chats and admin operations.</t>
        </is>
      </c>
      <c r="D6" s="16" t="inlineStr">
        <is>
          <t>In progress</t>
        </is>
      </c>
      <c r="E6" s="16" t="inlineStr">
        <is>
          <t>Tests written. Suite not run. Staging anon `42501`.</t>
        </is>
      </c>
    </row>
    <row r="7">
      <c r="A7" s="11" t="inlineStr">
        <is>
          <t>S-03</t>
        </is>
      </c>
      <c r="B7" s="11" t="inlineStr">
        <is>
          <t>Contact privacy</t>
        </is>
      </c>
      <c r="C7" s="11" t="inlineStr">
        <is>
          <t>Hidden contact fields never returned from unauthorized APIs; UI hiding alone is insufficient.</t>
        </is>
      </c>
      <c r="D7" s="11" t="inlineStr">
        <is>
          <t>In progress</t>
        </is>
      </c>
      <c r="E7" s="11" t="inlineStr">
        <is>
          <t>Client tests passed. SQL leakage file not run.</t>
        </is>
      </c>
    </row>
    <row r="8">
      <c r="A8" s="16" t="inlineStr">
        <is>
          <t>S-04</t>
        </is>
      </c>
      <c r="B8" s="16" t="inlineStr">
        <is>
          <t>Identity data</t>
        </is>
      </c>
      <c r="C8" s="16" t="inlineStr">
        <is>
          <t>No real Aadhaar/face data until provider, lawful basis, consent and retention are approved.</t>
        </is>
      </c>
      <c r="D8" s="16" t="inlineStr">
        <is>
          <t>Done</t>
        </is>
      </c>
      <c r="E8" s="16" t="inlineStr">
        <is>
          <t>Deferral holds. No Aadhaar column. Mock only.</t>
        </is>
      </c>
    </row>
    <row r="9">
      <c r="A9" s="11" t="inlineStr">
        <is>
          <t>S-05</t>
        </is>
      </c>
      <c r="B9" s="11" t="inlineStr">
        <is>
          <t>Uploads</t>
        </is>
      </c>
      <c r="C9" s="11" t="inlineStr">
        <is>
          <t>File size/type/ownership/access validation and listing photo moderation.</t>
        </is>
      </c>
      <c r="D9" s="11" t="inlineStr">
        <is>
          <t>In progress</t>
        </is>
      </c>
      <c r="E9" s="11" t="inlineStr">
        <is>
          <t>Client upload tests passed. SQL and hosted bucket not confirmed.</t>
        </is>
      </c>
    </row>
    <row r="10">
      <c r="A10" s="16" t="inlineStr">
        <is>
          <t>S-06</t>
        </is>
      </c>
      <c r="B10" s="16" t="inlineStr">
        <is>
          <t>Account deletion</t>
        </is>
      </c>
      <c r="C10" s="16" t="inlineStr">
        <is>
          <t>Real deletion workflow across auth, database, storage and connected services according to approved policy.</t>
        </is>
      </c>
      <c r="D10" s="16" t="inlineStr">
        <is>
          <t>In progress</t>
        </is>
      </c>
      <c r="E10" s="16" t="inlineStr">
        <is>
          <t>Function present on staging. End-to-end deletion test not run.</t>
        </is>
      </c>
    </row>
    <row r="11">
      <c r="A11" s="11" t="inlineStr">
        <is>
          <t>S-07</t>
        </is>
      </c>
      <c r="B11" s="11" t="inlineStr">
        <is>
          <t>Moderation</t>
        </is>
      </c>
      <c r="C11" s="11" t="inlineStr">
        <is>
          <t>Reports/blocks function and a named person/process handles reports.</t>
        </is>
      </c>
      <c r="D11" s="11" t="inlineStr">
        <is>
          <t>In progress</t>
        </is>
      </c>
      <c r="E11" s="11" t="inlineStr">
        <is>
          <t>SOP names deep. `staff_roles` empty.</t>
        </is>
      </c>
    </row>
    <row r="12">
      <c r="A12" s="16" t="inlineStr">
        <is>
          <t>S-08</t>
        </is>
      </c>
      <c r="B12" s="16" t="inlineStr">
        <is>
          <t>Payments</t>
        </is>
      </c>
      <c r="C12" s="16" t="inlineStr">
        <is>
          <t>Server-verified webhooks and idempotency; no client-authoritative paid entitlements.</t>
        </is>
      </c>
      <c r="D12" s="16" t="inlineStr">
        <is>
          <t>Blocked</t>
        </is>
      </c>
      <c r="E12" s="16" t="inlineStr">
        <is>
          <t>Payments deferred. No webhooks.</t>
        </is>
      </c>
    </row>
    <row r="13">
      <c r="A13" s="11" t="inlineStr">
        <is>
          <t>S-09</t>
        </is>
      </c>
      <c r="B13" s="11" t="inlineStr">
        <is>
          <t>Backups</t>
        </is>
      </c>
      <c r="C13" s="11" t="inlineStr">
        <is>
          <t>Production backup and restore procedure tested before launch.</t>
        </is>
      </c>
      <c r="D13" s="11" t="inlineStr">
        <is>
          <t>Blocked</t>
        </is>
      </c>
      <c r="E13" s="11" t="inlineStr">
        <is>
          <t>No production backup test.</t>
        </is>
      </c>
    </row>
    <row r="14">
      <c r="A14" s="16" t="inlineStr">
        <is>
          <t>S-10</t>
        </is>
      </c>
      <c r="B14" s="16" t="inlineStr">
        <is>
          <t>Store declarations</t>
        </is>
      </c>
      <c r="C14" s="16" t="inlineStr">
        <is>
          <t>Privacy/data safety declarations match SDKs, actual collection, sharing and retention.</t>
        </is>
      </c>
      <c r="D14" s="16" t="inlineStr">
        <is>
          <t>Review required</t>
        </is>
      </c>
      <c r="E14" s="16" t="inlineStr">
        <is>
          <t>Drafts. Legal review open.</t>
        </is>
      </c>
    </row>
    <row r="15">
      <c r="A15" s="11" t="inlineStr">
        <is>
          <t>S-11</t>
        </is>
      </c>
      <c r="B15" s="11" t="inlineStr">
        <is>
          <t>Release rollback</t>
        </is>
      </c>
      <c r="C15" s="11" t="inlineStr">
        <is>
          <t>Document how to halt rollout, disable feature and issue hotfix.</t>
        </is>
      </c>
      <c r="D15" s="11" t="inlineStr">
        <is>
          <t>Done</t>
        </is>
      </c>
      <c r="E15" s="11" t="inlineStr">
        <is>
          <t>`docs/ops/INCIDENT_ROLLBACK_RUNBOOK.md`. No production rollout exists to halt.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E$15"/>
  <mergeCells count="2">
    <mergeCell ref="A2:E2"/>
    <mergeCell ref="A1:E1"/>
  </mergeCells>
  <dataValidations count="1">
    <dataValidation sqref="D5:D15" showDropDown="0" showInputMessage="0" showErrorMessage="0" allowBlank="1" type="list">
      <formula1>"Not started,In progress,Blocked,Review required,Done"</formula1>
    </dataValidation>
  </dataValidation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C15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0" customWidth="1" style="19" min="1" max="1"/>
    <col width="74" customWidth="1" style="19" min="2" max="2"/>
    <col width="64" customWidth="1" style="19" min="3" max="3"/>
    <col width="8.710000000000001" customWidth="1" style="19" min="4" max="26"/>
  </cols>
  <sheetData>
    <row r="1" ht="31.5" customHeight="1" s="19">
      <c r="A1" s="20" t="inlineStr">
        <is>
          <t>Official References</t>
        </is>
      </c>
    </row>
    <row r="2" ht="33.75" customHeight="1" s="19">
      <c r="A2" s="4" t="inlineStr">
        <is>
          <t>Official documentation used for the pipeline. Re-check before launch because policy and pricing can change.</t>
        </is>
      </c>
    </row>
    <row r="4">
      <c r="A4" s="10" t="inlineStr">
        <is>
          <t>Reference</t>
        </is>
      </c>
      <c r="B4" s="10" t="inlineStr">
        <is>
          <t>Official URL</t>
        </is>
      </c>
      <c r="C4" s="10" t="inlineStr">
        <is>
          <t>Why it matters</t>
        </is>
      </c>
    </row>
    <row r="5">
      <c r="A5" s="11" t="inlineStr">
        <is>
          <t>Flutter install</t>
        </is>
      </c>
      <c r="B5" s="18" t="inlineStr">
        <is>
          <t>https://docs.flutter.dev/get-started/install</t>
        </is>
      </c>
      <c r="C5" s="11" t="inlineStr">
        <is>
          <t>Install SDK/toolchains.</t>
        </is>
      </c>
    </row>
    <row r="6">
      <c r="A6" s="16" t="inlineStr">
        <is>
          <t>Flutter Android release</t>
        </is>
      </c>
      <c r="B6" s="18" t="inlineStr">
        <is>
          <t>https://docs.flutter.dev/deployment/android</t>
        </is>
      </c>
      <c r="C6" s="16" t="inlineStr">
        <is>
          <t>Flutter APK/AAB build instructions; Google Play prefers AAB.</t>
        </is>
      </c>
    </row>
    <row r="7">
      <c r="A7" s="11" t="inlineStr">
        <is>
          <t>Firebase App Distribution</t>
        </is>
      </c>
      <c r="B7" s="18" t="inlineStr">
        <is>
          <t>https://firebase.google.com/docs/app-distribution/android/distribute-console</t>
        </is>
      </c>
      <c r="C7" s="11" t="inlineStr">
        <is>
          <t>Upload and distribute APK/AAB to testers.</t>
        </is>
      </c>
    </row>
    <row r="8">
      <c r="A8" s="16" t="inlineStr">
        <is>
          <t>Firebase tester setup</t>
        </is>
      </c>
      <c r="B8" s="18" t="inlineStr">
        <is>
          <t>https://firebase.google.com/docs/app-distribution/get-set-up-as-a-tester</t>
        </is>
      </c>
      <c r="C8" s="16" t="inlineStr">
        <is>
          <t>Accept invite and install tester build.</t>
        </is>
      </c>
    </row>
    <row r="9">
      <c r="A9" s="11" t="inlineStr">
        <is>
          <t>Play personal account testing</t>
        </is>
      </c>
      <c r="B9" s="18" t="inlineStr">
        <is>
          <t>https://support.google.com/googleplay/android-developer/answer/14151465?hl=en</t>
        </is>
      </c>
      <c r="C9" s="11" t="inlineStr">
        <is>
          <t>Applicable new personal accounts: closed test, 12 opted-in testers continuously for 14 days before production access request.</t>
        </is>
      </c>
    </row>
    <row r="10">
      <c r="A10" s="16" t="inlineStr">
        <is>
          <t>Play target API level</t>
        </is>
      </c>
      <c r="B10" s="18" t="inlineStr">
        <is>
          <t>https://support.google.com/googleplay/android-developer/answer/11926878?hl=en-EN</t>
        </is>
      </c>
      <c r="C10" s="16" t="inlineStr">
        <is>
          <t>Official current target API requirements; checked Oct 2026 page states API 36+ for new apps/updates from Aug 31 2026, subject to policy exceptions.</t>
        </is>
      </c>
    </row>
    <row r="11">
      <c r="A11" s="11" t="inlineStr">
        <is>
          <t>Google Play Console</t>
        </is>
      </c>
      <c r="B11" s="18" t="inlineStr">
        <is>
          <t>https://play.google.com/console/</t>
        </is>
      </c>
      <c r="C11" s="11" t="inlineStr">
        <is>
          <t>App setup, testing tracks, submission.</t>
        </is>
      </c>
    </row>
    <row r="12">
      <c r="A12" s="16" t="inlineStr">
        <is>
          <t>Apple Developer</t>
        </is>
      </c>
      <c r="B12" s="18" t="inlineStr">
        <is>
          <t>https://developer.apple.com/programs/</t>
        </is>
      </c>
      <c r="C12" s="16" t="inlineStr">
        <is>
          <t>Apple Developer Program.</t>
        </is>
      </c>
    </row>
    <row r="13">
      <c r="A13" s="11" t="inlineStr">
        <is>
          <t>App Store Connect</t>
        </is>
      </c>
      <c r="B13" s="18" t="inlineStr">
        <is>
          <t>https://appstoreconnect.apple.com/</t>
        </is>
      </c>
      <c r="C13" s="11" t="inlineStr">
        <is>
          <t>iOS builds, TestFlight and App Store.</t>
        </is>
      </c>
    </row>
    <row r="14">
      <c r="A14" s="16" t="inlineStr">
        <is>
          <t>Supabase docs</t>
        </is>
      </c>
      <c r="B14" s="18" t="inlineStr">
        <is>
          <t>https://supabase.com/docs</t>
        </is>
      </c>
      <c r="C14" s="16" t="inlineStr">
        <is>
          <t>Auth, Postgres, storage, RLS, functions.</t>
        </is>
      </c>
    </row>
    <row r="15">
      <c r="A15" s="11" t="inlineStr">
        <is>
          <t>GitHub Actions</t>
        </is>
      </c>
      <c r="B15" s="18" t="inlineStr">
        <is>
          <t>https://docs.github.com/actions</t>
        </is>
      </c>
      <c r="C15" s="11" t="inlineStr">
        <is>
          <t>Automated CI and build workflows.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C$15"/>
  <mergeCells count="2">
    <mergeCell ref="A1:C1"/>
    <mergeCell ref="A2:C2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</hyperlinks>
  <pageMargins left="0.25" right="0.25" top="0.5" bottom="0.5" header="0" footer="0"/>
  <pageSetup orientation="landscape" fitToHeight="0"/>
  <tableParts count="1">
    <tablePart xmlns:r="http://schemas.openxmlformats.org/officeDocument/2006/relationships" r:id="rId12"/>
  </tableParts>
</worksheet>
</file>

<file path=xl/worksheets/sheet11.xml><?xml version="1.0" encoding="utf-8"?>
<worksheet xmlns="http://schemas.openxmlformats.org/spreadsheetml/2006/main">
  <sheetPr>
    <tabColor rgb="FFD6AD60"/>
    <outlinePr summaryBelow="1" summaryRight="1"/>
    <pageSetUpPr fitToPage="1"/>
  </sheetPr>
  <dimension ref="A1:C1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6" customWidth="1" style="19" min="1" max="1"/>
    <col width="78" customWidth="1" style="19" min="2" max="2"/>
    <col width="42" customWidth="1" style="19" min="3" max="3"/>
    <col width="8.710000000000001" customWidth="1" style="19" min="4" max="26"/>
  </cols>
  <sheetData>
    <row r="1" ht="31.5" customHeight="1" s="19">
      <c r="A1" s="20" t="inlineStr">
        <is>
          <t>How To Use</t>
        </is>
      </c>
    </row>
    <row r="2" ht="33.75" customHeight="1" s="19">
      <c r="A2" s="4" t="inlineStr">
        <is>
          <t>Use this workbook as a living task system with Cursor Agent.</t>
        </is>
      </c>
    </row>
    <row r="4">
      <c r="A4" s="10" t="inlineStr">
        <is>
          <t>Rule</t>
        </is>
      </c>
      <c r="B4" s="10" t="inlineStr">
        <is>
          <t>Action</t>
        </is>
      </c>
      <c r="C4" s="10" t="inlineStr">
        <is>
          <t>Reminder</t>
        </is>
      </c>
    </row>
    <row r="5">
      <c r="A5" s="11" t="inlineStr">
        <is>
          <t>1. Start</t>
        </is>
      </c>
      <c r="B5" s="11" t="inlineStr">
        <is>
          <t>Read DASHBOARD, then approve D-01 through D-10 in DECISIONS. Start E-001 in EXECUTION_PIPELINE.</t>
        </is>
      </c>
      <c r="C5" s="11" t="inlineStr">
        <is>
          <t>Do not begin with all features.</t>
        </is>
      </c>
    </row>
    <row r="6">
      <c r="A6" s="16" t="inlineStr">
        <is>
          <t>2. Task prompt</t>
        </is>
      </c>
      <c r="B6" s="16" t="inlineStr">
        <is>
          <t>Copy the relevant prompt from CURSOR_PROMPTS and replace placeholders with exact step ID/work package.</t>
        </is>
      </c>
      <c r="C6" s="16" t="inlineStr">
        <is>
          <t>One task per Cursor session is easiest to review.</t>
        </is>
      </c>
    </row>
    <row r="7">
      <c r="A7" s="11" t="inlineStr">
        <is>
          <t>3. Evidence</t>
        </is>
      </c>
      <c r="B7" s="11" t="inlineStr">
        <is>
          <t>Save command outputs, screenshots, test results, build artifact links and decisions in GitHub/docs or the relevant tracker.</t>
        </is>
      </c>
      <c r="C7" s="11" t="inlineStr">
        <is>
          <t>Do not mark Done without evidence.</t>
        </is>
      </c>
    </row>
    <row r="8">
      <c r="A8" s="16" t="inlineStr">
        <is>
          <t>4. Phone now</t>
        </is>
      </c>
      <c r="B8" s="16" t="inlineStr">
        <is>
          <t>Complete E-002 through E-006 for a first local Android install; no backend needed for the first shell.</t>
        </is>
      </c>
      <c r="C8" s="16" t="inlineStr">
        <is>
          <t>This is the earliest phone milestone.</t>
        </is>
      </c>
    </row>
    <row r="9">
      <c r="A9" s="11" t="inlineStr">
        <is>
          <t>5. Continuous testing</t>
        </is>
      </c>
      <c r="B9" s="11" t="inlineStr">
        <is>
          <t>Complete E-028/029 to distribute new test builds via Firebase; keep version/build numbers increasing and signing consistent.</t>
        </is>
      </c>
      <c r="C9" s="11" t="inlineStr">
        <is>
          <t>Each code/UI change usually requires reinstalling a new build.</t>
        </is>
      </c>
    </row>
    <row r="10">
      <c r="A10" s="16" t="inlineStr">
        <is>
          <t>6. Live updates</t>
        </is>
      </c>
      <c r="B10" s="16" t="inlineStr">
        <is>
          <t>Deploy backend/content changes independently when backward-compatible; document migrations and rollback.</t>
        </is>
      </c>
      <c r="C10" s="16" t="inlineStr">
        <is>
          <t>Not the same as hot-reloading app code.</t>
        </is>
      </c>
    </row>
    <row r="11">
      <c r="A11" s="11" t="inlineStr">
        <is>
          <t>7. Store</t>
        </is>
      </c>
      <c r="B11" s="11" t="inlineStr">
        <is>
          <t>Follow PLAYSTORE_CHECKLIST; the store review and any required closed-test period cannot be automated away.</t>
        </is>
      </c>
      <c r="C11" s="11" t="inlineStr">
        <is>
          <t>Google controls approval.</t>
        </is>
      </c>
    </row>
    <row r="12">
      <c r="A12" s="16" t="inlineStr">
        <is>
          <t>8. iOS</t>
        </is>
      </c>
      <c r="B12" s="16" t="inlineStr">
        <is>
          <t>Maintain iOS target from day one but schedule signing/TestFlight/App Store steps on macOS/Xcode.</t>
        </is>
      </c>
      <c r="C12" s="16" t="inlineStr">
        <is>
          <t>Android can be first without abandoning iOS.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autoFilter ref="$A$4:$C$12"/>
  <mergeCells count="2">
    <mergeCell ref="A1:C1"/>
    <mergeCell ref="A2:C2"/>
  </mergeCells>
  <pageMargins left="0.25" right="0.25" top="0.5" bottom="0.5" header="0" footer="0"/>
  <pageSetup orientation="landscape" fitToHeight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2026-10-17T07:07:54Z</dcterms:created>
  <dcterms:modified xsi:type="dcterms:W3CDTF">2026-10-17T07:07:55Z</dcterms:modified>
</cp:coreProperties>
</file>